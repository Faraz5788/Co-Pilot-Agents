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" sheetId="2" state="visible" r:id="rId4"/>
    <sheet name="Year Overview" sheetId="3" state="visible" r:id="rId5"/>
    <sheet name="Setup" sheetId="4" state="visible" r:id="rId6"/>
    <sheet name="Transact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<sst xmlns="http://schemas.openxmlformats.org/spreadsheetml/2006/main" count="102" uniqueCount="90">
  <si>
    <t xml:space="preserve">Monthly Budget Planner</t>
  </si>
  <si>
    <t xml:space="preserve">by The Geek Next Door Co.</t>
  </si>
  <si>
    <t xml:space="preserve">How to use this template</t>
  </si>
  <si>
    <t xml:space="preserve">1.  Go to the Setup tab: set the year, and rename the income and expense categories to suit you.</t>
  </si>
  <si>
    <t xml:space="preserve">2.  On the Budget tab, choose a month at the top and type how much you PLAN to earn and spend in each category.</t>
  </si>
  <si>
    <t xml:space="preserve">3.  Every time you spend or earn money, add a row on the Transactions tab (date, description, category, amount).</t>
  </si>
  <si>
    <t xml:space="preserve">4.  The Budget tab fills in your ACTUAL numbers for the chosen month, shows what's left, and draws the chart for you.</t>
  </si>
  <si>
    <t xml:space="preserve">5.  The Year Overview tab totals every category month by month so you can spot trends.</t>
  </si>
  <si>
    <t xml:space="preserve">Colour key</t>
  </si>
  <si>
    <t xml:space="preserve">  Pale yellow cells = type here. Everything else calculates automatically — no need to touch it.</t>
  </si>
  <si>
    <t xml:space="preserve">Works in Microsoft Excel and Google Sheets (File → Import, or open directly from Google Drive).</t>
  </si>
  <si>
    <t xml:space="preserve">The example rows are just there to show you the format — delete or overwrite them.</t>
  </si>
  <si>
    <t xml:space="preserve">Monthly Budget</t>
  </si>
  <si>
    <t xml:space="preserve">Pick a month, type your planned amounts, and watch the actuals fill in from Transactions.</t>
  </si>
  <si>
    <t xml:space="preserve">Month</t>
  </si>
  <si>
    <t xml:space="preserve">January</t>
  </si>
  <si>
    <t xml:space="preserve">Income</t>
  </si>
  <si>
    <t xml:space="preserve">Planned</t>
  </si>
  <si>
    <t xml:space="preserve">Actual</t>
  </si>
  <si>
    <t xml:space="preserve">Difference</t>
  </si>
  <si>
    <t xml:space="preserve">Summary</t>
  </si>
  <si>
    <t xml:space="preserve">Planned income</t>
  </si>
  <si>
    <t xml:space="preserve">Actual income</t>
  </si>
  <si>
    <t xml:space="preserve">Planned expenses</t>
  </si>
  <si>
    <t xml:space="preserve">Actual expenses</t>
  </si>
  <si>
    <t xml:space="preserve">Money left this month</t>
  </si>
  <si>
    <t xml:space="preserve">% of budget spent</t>
  </si>
  <si>
    <t xml:space="preserve">Total income</t>
  </si>
  <si>
    <t xml:space="preserve">Expenses</t>
  </si>
  <si>
    <t xml:space="preserve">Left to spend</t>
  </si>
  <si>
    <t xml:space="preserve">Total expenses</t>
  </si>
  <si>
    <t xml:space="preserve">Year Overview</t>
  </si>
  <si>
    <t xml:space="preserve">Actual totals per category, month by month (from Transactions).</t>
  </si>
  <si>
    <t xml:space="preserve">Category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</si>
  <si>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</si>
  <si>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</si>
  <si>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</si>
  <si>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</si>
  <si>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</si>
  <si>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</si>
  <si>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</si>
  <si>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</si>
  <si>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</si>
  <si>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</si>
  <si>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</si>
  <si>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</si>
  <si>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 total</t>
  </si>
  <si>
    <t xml:space="preserve">INCOME</t>
  </si>
  <si>
    <t xml:space="preserve">EXPENSES</t>
  </si>
  <si>
    <t xml:space="preserve">Net (saved)</t>
  </si>
  <si>
    <t xml:space="preserve">Setup</t>
  </si>
  <si>
    <t xml:space="preserve">Rename categories to fit your life. Up to 6 income and 16 expense categories.</t>
  </si>
  <si>
    <t xml:space="preserve">Year</t>
  </si>
  <si>
    <t xml:space="preserve">Income categories</t>
  </si>
  <si>
    <t xml:space="preserve">Expense categories</t>
  </si>
  <si>
    <t xml:space="preserve">All categories (auto)</t>
  </si>
  <si>
    <t xml:space="preserve">Salary</t>
  </si>
  <si>
    <t xml:space="preserve">Rent / Mortgage</t>
  </si>
  <si>
    <t xml:space="preserve">Side hustle</t>
  </si>
  <si>
    <t xml:space="preserve">Utilities</t>
  </si>
  <si>
    <t xml:space="preserve">Freelance</t>
  </si>
  <si>
    <t xml:space="preserve">Groceries</t>
  </si>
  <si>
    <t xml:space="preserve">Gifts</t>
  </si>
  <si>
    <t xml:space="preserve">Eating out</t>
  </si>
  <si>
    <t xml:space="preserve">Interest</t>
  </si>
  <si>
    <t xml:space="preserve">Transport</t>
  </si>
  <si>
    <t xml:space="preserve">Other income</t>
  </si>
  <si>
    <t xml:space="preserve">Insurance</t>
  </si>
  <si>
    <t xml:space="preserve">Phone &amp; Internet</t>
  </si>
  <si>
    <t xml:space="preserve">Subscriptions</t>
  </si>
  <si>
    <t xml:space="preserve">Health</t>
  </si>
  <si>
    <t xml:space="preserve">Shopping</t>
  </si>
  <si>
    <t xml:space="preserve">Entertainment</t>
  </si>
  <si>
    <t xml:space="preserve">Gifts &amp; Donations</t>
  </si>
  <si>
    <t xml:space="preserve">Savings</t>
  </si>
  <si>
    <t xml:space="preserve">Debt payments</t>
  </si>
  <si>
    <t xml:space="preserve">Personal care</t>
  </si>
  <si>
    <t xml:space="preserve">Miscellaneous</t>
  </si>
  <si>
    <t xml:space="preserve">Transactions</t>
  </si>
  <si>
    <t xml:space="preserve">Log every money in / money out here. Type = Income or Expense.</t>
  </si>
  <si>
    <t xml:space="preserve">Date</t>
  </si>
  <si>
    <t xml:space="preserve">Description</t>
  </si>
  <si>
    <t xml:space="preserve">Type</t>
  </si>
  <si>
    <t xml:space="preserve">Amount</t>
  </si>
  <si>
    <t xml:space="preserve">Notes</t>
  </si>
  <si>
    <t xml:space="preserve">January pay</t>
  </si>
  <si>
    <t xml:space="preserve">Rent</t>
  </si>
  <si>
    <t xml:space="preserve">Expense</t>
  </si>
  <si>
    <t xml:space="preserve">Supermarket</t>
  </si>
  <si>
    <t xml:space="preserve">Pizza night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</si>
</sst>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\ yyyy"/>
    <numFmt numFmtId="166" formatCode="dd\ mmm\ yyyy"/>
    <numFmt numFmtId="167" formatCode="\£#,##0.00;&quot;-£&quot;#,##0.00;\-"/>
    <numFmt numFmtId="168" formatCode="0%"/>
    <numFmt numFmtId="169" formatCode="#,##0;\-#,##0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1D1A"/>
      <name val="Arial"/>
      <family val="0"/>
      <charset val="1"/>
    </font>
    <font>
      <i val="true"/>
      <sz val="10"/>
      <color rgb="FF5A544B"/>
      <name val="Arial"/>
      <family val="0"/>
      <charset val="1"/>
    </font>
    <font>
      <b val="true"/>
      <sz val="14"/>
      <color rgb="FF1F1D1A"/>
      <name val="Arial"/>
      <family val="0"/>
      <charset val="1"/>
    </font>
    <font>
      <sz val="11"/>
      <color rgb="FF1F1D1A"/>
      <name val="Arial"/>
      <family val="0"/>
      <charset val="1"/>
    </font>
    <font>
      <b val="true"/>
      <sz val="11"/>
      <color rgb="FF1F1D1A"/>
      <name val="Arial"/>
      <family val="0"/>
      <charset val="1"/>
    </font>
    <font>
      <sz val="9"/>
      <color rgb="FF8A83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color rgb="FF8A8378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D6452F"/>
        <bgColor rgb="FF993300"/>
      </patternFill>
    </fill>
    <fill>
      <patternFill patternType="solid">
        <fgColor rgb="FFF2B632"/>
        <bgColor rgb="FFFF9900"/>
      </patternFill>
    </fill>
    <fill>
      <patternFill patternType="solid">
        <fgColor rgb="FF2F6FB5"/>
        <bgColor rgb="FF0066CC"/>
      </patternFill>
    </fill>
    <fill>
      <patternFill patternType="solid">
        <fgColor rgb="FFF7F3EA"/>
        <bgColor rgb="FFF9F9F9"/>
      </patternFill>
    </fill>
    <fill>
      <patternFill patternType="solid">
        <fgColor rgb="FFFFF6D6"/>
        <bgColor rgb="FFF7F3EA"/>
      </patternFill>
    </fill>
    <fill>
      <patternFill patternType="solid">
        <fgColor rgb="FF3F9B5A"/>
        <bgColor rgb="FF008080"/>
      </patternFill>
    </fill>
    <fill>
      <patternFill patternType="solid">
        <fgColor rgb="FFE6F2E9"/>
        <bgColor rgb="FFF7F3EA"/>
      </patternFill>
    </fill>
    <fill>
      <patternFill patternType="solid">
        <fgColor rgb="FF1F1D1A"/>
        <bgColor rgb="FF333300"/>
      </patternFill>
    </fill>
    <fill>
      <patternFill patternType="solid">
        <fgColor rgb="FFFBE3DF"/>
        <bgColor rgb="FFF7F3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DCCB"/>
      </left>
      <right style="thin">
        <color rgb="FFE4DCCB"/>
      </right>
      <top style="thin">
        <color rgb="FFE4DCCB"/>
      </top>
      <bottom style="thin">
        <color rgb="FFE4DC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D6452F"/>
      </font>
    </dxf>
    <dxf>
      <font>
        <name val="Arial"/>
        <charset val="1"/>
        <family val="0"/>
        <b val="1"/>
        <color rgb="FFD6452F"/>
      </font>
      <fill>
        <patternFill>
          <bgColor rgb="FFFBE3D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A8378"/>
      <rgbColor rgb="FF9999FF"/>
      <rgbColor rgb="FF993366"/>
      <rgbColor rgb="FFFFF6D6"/>
      <rgbColor rgb="FFE6F2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F7F3EA"/>
      <rgbColor rgb="FFFBE3DF"/>
      <rgbColor rgb="FF99CCFF"/>
      <rgbColor rgb="FFFF99CC"/>
      <rgbColor rgb="FFCC99FF"/>
      <rgbColor rgb="FFE4DCCB"/>
      <rgbColor rgb="FF2F6FB5"/>
      <rgbColor rgb="FF33CCCC"/>
      <rgbColor rgb="FF99CC00"/>
      <rgbColor rgb="FFF2B632"/>
      <rgbColor rgb="FFFF9900"/>
      <rgbColor rgb="FFD6452F"/>
      <rgbColor rgb="FF5A544B"/>
      <rgbColor rgb="FF878787"/>
      <rgbColor rgb="FF003366"/>
      <rgbColor rgb="FF3F9B5A"/>
      <rgbColor rgb="FF003300"/>
      <rgbColor rgb="FF333300"/>
      <rgbColor rgb="FF993300"/>
      <rgbColor rgb="FF993366"/>
      <rgbColor rgb="FF333399"/>
      <rgbColor rgb="FF1F1D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Planned vs actual spending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Budget!C16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e4dcc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Budget!$B$17:$B$32</c:f>
              <c:strCache>
                <c:ptCount val="16"/>
                <c:pt idx="0">
                  <c:v>Rent / Mortgage</c:v>
                </c:pt>
                <c:pt idx="1">
                  <c:v>Utilities</c:v>
                </c:pt>
                <c:pt idx="2">
                  <c:v>Groceries</c:v>
                </c:pt>
                <c:pt idx="3">
                  <c:v>Eating out</c:v>
                </c:pt>
                <c:pt idx="4">
                  <c:v>Transport</c:v>
                </c:pt>
                <c:pt idx="5">
                  <c:v>Insurance</c:v>
                </c:pt>
                <c:pt idx="6">
                  <c:v>Phone &amp; Internet</c:v>
                </c:pt>
                <c:pt idx="7">
                  <c:v>Subscriptions</c:v>
                </c:pt>
                <c:pt idx="8">
                  <c:v>Health</c:v>
                </c:pt>
                <c:pt idx="9">
                  <c:v>Shopping</c:v>
                </c:pt>
                <c:pt idx="10">
                  <c:v>Entertainment</c:v>
                </c:pt>
                <c:pt idx="11">
                  <c:v>Gifts &amp; Donations</c:v>
                </c:pt>
                <c:pt idx="12">
                  <c:v>Savings</c:v>
                </c:pt>
                <c:pt idx="13">
                  <c:v>Debt payments</c:v>
                </c:pt>
                <c:pt idx="14">
                  <c:v>Personal care</c:v>
                </c:pt>
                <c:pt idx="15">
                  <c:v>Miscellaneous</c:v>
                </c:pt>
              </c:strCache>
            </c:strRef>
          </c:cat>
          <c:val>
            <c:numRef>
              <c:f>Budget!$C$17:$C$32</c:f>
              <c:numCache>
                <c:formatCode>\£#,##0.00;"-£"#,##0.00;\-</c:formatCode>
                <c:ptCount val="16"/>
                <c:pt idx="0">
                  <c:v>1100</c:v>
                </c:pt>
                <c:pt idx="1">
                  <c:v>150</c:v>
                </c:pt>
                <c:pt idx="2">
                  <c:v>400</c:v>
                </c:pt>
                <c:pt idx="3">
                  <c:v>120</c:v>
                </c:pt>
                <c:pt idx="4">
                  <c:v>150</c:v>
                </c:pt>
                <c:pt idx="5">
                  <c:v>80</c:v>
                </c:pt>
                <c:pt idx="6">
                  <c:v>60</c:v>
                </c:pt>
                <c:pt idx="7">
                  <c:v>40</c:v>
                </c:pt>
                <c:pt idx="8">
                  <c:v>50</c:v>
                </c:pt>
                <c:pt idx="9">
                  <c:v>100</c:v>
                </c:pt>
                <c:pt idx="10">
                  <c:v>80</c:v>
                </c:pt>
                <c:pt idx="11">
                  <c:v>40</c:v>
                </c:pt>
                <c:pt idx="12">
                  <c:v>300</c:v>
                </c:pt>
                <c:pt idx="13">
                  <c:v>150</c:v>
                </c:pt>
                <c:pt idx="14">
                  <c:v>40</c:v>
                </c:pt>
                <c:pt idx="15">
                  <c:v>50</c:v>
                </c:pt>
              </c:numCache>
            </c:numRef>
          </c:val>
        </c:ser>
        <c:ser>
          <c:idx val="1"/>
          <c:order val="1"/>
          <c:tx>
            <c:strRef>
              <c:f>Budget!D16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2f6fb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Budget!$B$17:$B$32</c:f>
              <c:strCache>
                <c:ptCount val="16"/>
                <c:pt idx="0">
                  <c:v>Rent / Mortgage</c:v>
                </c:pt>
                <c:pt idx="1">
                  <c:v>Utilities</c:v>
                </c:pt>
                <c:pt idx="2">
                  <c:v>Groceries</c:v>
                </c:pt>
                <c:pt idx="3">
                  <c:v>Eating out</c:v>
                </c:pt>
                <c:pt idx="4">
                  <c:v>Transport</c:v>
                </c:pt>
                <c:pt idx="5">
                  <c:v>Insurance</c:v>
                </c:pt>
                <c:pt idx="6">
                  <c:v>Phone &amp; Internet</c:v>
                </c:pt>
                <c:pt idx="7">
                  <c:v>Subscriptions</c:v>
                </c:pt>
                <c:pt idx="8">
                  <c:v>Health</c:v>
                </c:pt>
                <c:pt idx="9">
                  <c:v>Shopping</c:v>
                </c:pt>
                <c:pt idx="10">
                  <c:v>Entertainment</c:v>
                </c:pt>
                <c:pt idx="11">
                  <c:v>Gifts &amp; Donations</c:v>
                </c:pt>
                <c:pt idx="12">
                  <c:v>Savings</c:v>
                </c:pt>
                <c:pt idx="13">
                  <c:v>Debt payments</c:v>
                </c:pt>
                <c:pt idx="14">
                  <c:v>Personal care</c:v>
                </c:pt>
                <c:pt idx="15">
                  <c:v>Miscellaneous</c:v>
                </c:pt>
              </c:strCache>
            </c:strRef>
          </c:cat>
          <c:val>
            <c:numRef>
              <c:f>Budget!$D$17:$D$32</c:f>
              <c:numCache>
                <c:formatCode>\£#,##0.00;"-£"#,##0.00;\-</c:formatCode>
                <c:ptCount val="16"/>
                <c:pt idx="0">
                  <c:v>1100</c:v>
                </c:pt>
                <c:pt idx="1">
                  <c:v>0</c:v>
                </c:pt>
                <c:pt idx="2">
                  <c:v>86.4</c:v>
                </c:pt>
                <c:pt idx="3">
                  <c:v>32.5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95563447"/>
        <c:axId val="72971196"/>
      </c:barChart>
      <c:catAx>
        <c:axId val="9556344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971196"/>
        <c:crosses val="autoZero"/>
        <c:auto val="1"/>
        <c:lblAlgn val="ctr"/>
        <c:lblOffset val="100"/>
        <c:noMultiLvlLbl val="0"/>
      </c:catAx>
      <c:valAx>
        <c:axId val="72971196"/>
        <c:scaling>
          <c:orientation val="minMax"/>
        </c:scaling>
        <c:delete val="0"/>
        <c:axPos val="l"/>
        <c:numFmt formatCode="\£#,##0.00;&quot;-£&quot;#,##0.0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5634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15</xdr:row>
      <xdr:rowOff>0</xdr:rowOff>
    </xdr:from>
    <xdr:to>
      <xdr:col>12</xdr:col>
      <xdr:colOff>353160</xdr:colOff>
      <xdr:row>35</xdr:row>
      <xdr:rowOff>63720</xdr:rowOff>
    </xdr:to>
    <xdr:graphicFrame>
      <xdr:nvGraphicFramePr>
        <xdr:cNvPr id="0" name="Chart 1"/>
        <xdr:cNvGraphicFramePr/>
      </xdr:nvGraphicFramePr>
      <xdr:xfrm>
        <a:off x="5145480" y="3038400"/>
        <a:ext cx="57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1D1A"/>
    <pageSetUpPr fitToPage="false"/>
  </sheetPr>
  <dimension ref="A1:C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0"/>
  </cols>
  <sheetData>
    <row r="1" customFormat="false" ht="6" hidden="false" customHeight="true" outlineLevel="0" collapsed="false">
      <c r="A1" s="1"/>
      <c r="B1" s="2"/>
      <c r="C1" s="3"/>
    </row>
    <row r="2" customFormat="false" ht="31.5" hidden="false" customHeight="true" outlineLevel="0" collapsed="false">
      <c r="A2" s="4"/>
      <c r="B2" s="5" t="s">
        <v>0</v>
      </c>
      <c r="C2" s="4"/>
    </row>
    <row r="3" customFormat="false" ht="15" hidden="false" customHeight="false" outlineLevel="0" collapsed="false">
      <c r="A3" s="4"/>
      <c r="B3" s="6" t="s">
        <v>1</v>
      </c>
      <c r="C3" s="4"/>
    </row>
    <row r="5" customFormat="false" ht="17.35" hidden="false" customHeight="false" outlineLevel="0" collapsed="false">
      <c r="B5" s="7" t="s">
        <v>2</v>
      </c>
    </row>
    <row r="7" customFormat="false" ht="30" hidden="false" customHeight="true" outlineLevel="0" collapsed="false">
      <c r="B7" s="8" t="s">
        <v>3</v>
      </c>
    </row>
    <row r="8" customFormat="false" ht="30" hidden="false" customHeight="true" outlineLevel="0" collapsed="false">
      <c r="B8" s="8" t="s">
        <v>4</v>
      </c>
    </row>
    <row r="9" customFormat="false" ht="30" hidden="false" customHeight="true" outlineLevel="0" collapsed="false">
      <c r="B9" s="8" t="s">
        <v>5</v>
      </c>
    </row>
    <row r="10" customFormat="false" ht="30" hidden="false" customHeight="true" outlineLevel="0" collapsed="false">
      <c r="B10" s="8" t="s">
        <v>6</v>
      </c>
    </row>
    <row r="11" customFormat="false" ht="30" hidden="false" customHeight="true" outlineLevel="0" collapsed="false">
      <c r="B11" s="8" t="s">
        <v>7</v>
      </c>
    </row>
    <row r="13" customFormat="false" ht="17.35" hidden="false" customHeight="false" outlineLevel="0" collapsed="false">
      <c r="B13" s="7" t="s">
        <v>8</v>
      </c>
    </row>
    <row r="14" customFormat="false" ht="15" hidden="false" customHeight="false" outlineLevel="0" collapsed="false">
      <c r="B14" s="9" t="s">
        <v>9</v>
      </c>
    </row>
    <row r="16" customFormat="false" ht="15" hidden="false" customHeight="false" outlineLevel="0" collapsed="false">
      <c r="B16" s="10" t="s">
        <v>10</v>
      </c>
    </row>
    <row r="17" customFormat="false" ht="15" hidden="false" customHeight="false" outlineLevel="0" collapsed="false">
      <c r="B17" s="10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9B5A"/>
    <pageSetUpPr fitToPage="false"/>
  </sheetPr>
  <dimension ref="A1:I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5" min="3" style="0" width="14"/>
    <col collapsed="false" customWidth="true" hidden="false" outlineLevel="0" max="6" min="6" style="0" width="4"/>
    <col collapsed="false" customWidth="true" hidden="false" outlineLevel="0" max="7" min="7" style="0" width="26"/>
    <col collapsed="false" customWidth="true" hidden="false" outlineLevel="0" max="8" min="8" style="0" width="16"/>
  </cols>
  <sheetData>
    <row r="1" customFormat="false" ht="6" hidden="false" customHeight="true" outlineLevel="0" collapsed="false">
      <c r="A1" s="1"/>
      <c r="B1" s="2"/>
      <c r="C1" s="3"/>
      <c r="D1" s="11"/>
      <c r="E1" s="1"/>
      <c r="F1" s="2"/>
      <c r="G1" s="3"/>
      <c r="H1" s="11"/>
      <c r="I1" s="1"/>
    </row>
    <row r="2" customFormat="false" ht="31.5" hidden="false" customHeight="true" outlineLevel="0" collapsed="false">
      <c r="A2" s="4"/>
      <c r="B2" s="5" t="s">
        <v>12</v>
      </c>
      <c r="C2" s="4"/>
      <c r="D2" s="4"/>
      <c r="E2" s="4"/>
      <c r="F2" s="4"/>
      <c r="G2" s="4"/>
      <c r="H2" s="4"/>
      <c r="I2" s="4"/>
    </row>
    <row r="3" customFormat="false" ht="15" hidden="false" customHeight="false" outlineLevel="0" collapsed="false">
      <c r="A3" s="4"/>
      <c r="B3" s="6" t="s">
        <v>13</v>
      </c>
      <c r="C3" s="4"/>
      <c r="D3" s="4"/>
      <c r="E3" s="4"/>
      <c r="F3" s="4"/>
      <c r="G3" s="4"/>
      <c r="H3" s="4"/>
      <c r="I3" s="4"/>
    </row>
    <row r="5" customFormat="false" ht="15" hidden="false" customHeight="false" outlineLevel="0" collapsed="false">
      <c r="B5" s="12" t="s">
        <v>14</v>
      </c>
      <c r="C5" s="13" t="s">
        <v>15</v>
      </c>
      <c r="D5" s="14" t="n">
        <f aca="false">DATE(Setup!$D$5,MATCH(C5,{"January","February","March","April","May","June","July","August","September","October","November","December"},0),1)</f>
        <v>46023</v>
      </c>
      <c r="E5" s="15" t="n">
        <f aca="false">EOMONTH(D5,0)</f>
        <v>46053</v>
      </c>
    </row>
    <row r="7" customFormat="false" ht="21.75" hidden="false" customHeight="true" outlineLevel="0" collapsed="false">
      <c r="B7" s="16" t="s">
        <v>16</v>
      </c>
      <c r="C7" s="16" t="s">
        <v>17</v>
      </c>
      <c r="D7" s="16" t="s">
        <v>18</v>
      </c>
      <c r="E7" s="16" t="s">
        <v>19</v>
      </c>
      <c r="G7" s="17" t="s">
        <v>20</v>
      </c>
      <c r="H7" s="17"/>
    </row>
    <row r="8" customFormat="false" ht="15" hidden="false" customHeight="false" outlineLevel="0" collapsed="false">
      <c r="B8" s="18" t="str">
        <f aca="false">Setup!B8</f>
        <v>Salary</v>
      </c>
      <c r="C8" s="19" t="n">
        <v>3200</v>
      </c>
      <c r="D8" s="20" t="n">
        <f aca="false">SUMIFS(Transactions!$F$6:$F$505,Transactions!$E$6:$E$505,B8,Transactions!$D$6:$D$505,"Income",Transactions!$B$6:$B$505,"&gt;="&amp;$D$5,Transactions!$B$6:$B$505,"&lt;="&amp;$E$5)</f>
        <v>3200</v>
      </c>
      <c r="E8" s="20" t="n">
        <f aca="false">D8-C8</f>
        <v>0</v>
      </c>
      <c r="G8" s="18" t="s">
        <v>21</v>
      </c>
      <c r="H8" s="20" t="n">
        <f aca="false">C14</f>
        <v>3200</v>
      </c>
    </row>
    <row r="9" customFormat="false" ht="15" hidden="false" customHeight="false" outlineLevel="0" collapsed="false">
      <c r="B9" s="18" t="str">
        <f aca="false">Setup!B9</f>
        <v>Side hustle</v>
      </c>
      <c r="C9" s="19" t="n">
        <v>0</v>
      </c>
      <c r="D9" s="20" t="n">
        <f aca="false">SUMIFS(Transactions!$F$6:$F$505,Transactions!$E$6:$E$505,B9,Transactions!$D$6:$D$505,"Income",Transactions!$B$6:$B$505,"&gt;="&amp;$D$5,Transactions!$B$6:$B$505,"&lt;="&amp;$E$5)</f>
        <v>0</v>
      </c>
      <c r="E9" s="20" t="n">
        <f aca="false">D9-C9</f>
        <v>0</v>
      </c>
      <c r="G9" s="18" t="s">
        <v>22</v>
      </c>
      <c r="H9" s="20" t="n">
        <f aca="false">D14</f>
        <v>3200</v>
      </c>
    </row>
    <row r="10" customFormat="false" ht="15" hidden="false" customHeight="false" outlineLevel="0" collapsed="false">
      <c r="B10" s="18" t="str">
        <f aca="false">Setup!B10</f>
        <v>Freelance</v>
      </c>
      <c r="C10" s="19" t="n">
        <v>0</v>
      </c>
      <c r="D10" s="20" t="n">
        <f aca="false">SUMIFS(Transactions!$F$6:$F$505,Transactions!$E$6:$E$505,B10,Transactions!$D$6:$D$505,"Income",Transactions!$B$6:$B$505,"&gt;="&amp;$D$5,Transactions!$B$6:$B$505,"&lt;="&amp;$E$5)</f>
        <v>0</v>
      </c>
      <c r="E10" s="20" t="n">
        <f aca="false">D10-C10</f>
        <v>0</v>
      </c>
      <c r="G10" s="18" t="s">
        <v>23</v>
      </c>
      <c r="H10" s="20" t="n">
        <f aca="false">C33</f>
        <v>2910</v>
      </c>
    </row>
    <row r="11" customFormat="false" ht="15" hidden="false" customHeight="false" outlineLevel="0" collapsed="false">
      <c r="B11" s="18" t="str">
        <f aca="false">Setup!B11</f>
        <v>Gifts</v>
      </c>
      <c r="C11" s="19" t="n">
        <v>0</v>
      </c>
      <c r="D11" s="20" t="n">
        <f aca="false">SUMIFS(Transactions!$F$6:$F$505,Transactions!$E$6:$E$505,B11,Transactions!$D$6:$D$505,"Income",Transactions!$B$6:$B$505,"&gt;="&amp;$D$5,Transactions!$B$6:$B$505,"&lt;="&amp;$E$5)</f>
        <v>0</v>
      </c>
      <c r="E11" s="20" t="n">
        <f aca="false">D11-C11</f>
        <v>0</v>
      </c>
      <c r="G11" s="18" t="s">
        <v>24</v>
      </c>
      <c r="H11" s="20" t="n">
        <f aca="false">D33</f>
        <v>1218.9</v>
      </c>
    </row>
    <row r="12" customFormat="false" ht="15" hidden="false" customHeight="false" outlineLevel="0" collapsed="false">
      <c r="B12" s="18" t="str">
        <f aca="false">Setup!B12</f>
        <v>Interest</v>
      </c>
      <c r="C12" s="19" t="n">
        <v>0</v>
      </c>
      <c r="D12" s="20" t="n">
        <f aca="false">SUMIFS(Transactions!$F$6:$F$505,Transactions!$E$6:$E$505,B12,Transactions!$D$6:$D$505,"Income",Transactions!$B$6:$B$505,"&gt;="&amp;$D$5,Transactions!$B$6:$B$505,"&lt;="&amp;$E$5)</f>
        <v>0</v>
      </c>
      <c r="E12" s="20" t="n">
        <f aca="false">D12-C12</f>
        <v>0</v>
      </c>
      <c r="G12" s="12" t="s">
        <v>25</v>
      </c>
      <c r="H12" s="21" t="n">
        <f aca="false">D14-D33</f>
        <v>1981.1</v>
      </c>
    </row>
    <row r="13" customFormat="false" ht="15" hidden="false" customHeight="false" outlineLevel="0" collapsed="false">
      <c r="B13" s="18" t="str">
        <f aca="false">Setup!B13</f>
        <v>Other income</v>
      </c>
      <c r="C13" s="19" t="n">
        <v>0</v>
      </c>
      <c r="D13" s="20" t="n">
        <f aca="false">SUMIFS(Transactions!$F$6:$F$505,Transactions!$E$6:$E$505,B13,Transactions!$D$6:$D$505,"Income",Transactions!$B$6:$B$505,"&gt;="&amp;$D$5,Transactions!$B$6:$B$505,"&lt;="&amp;$E$5)</f>
        <v>0</v>
      </c>
      <c r="E13" s="20" t="n">
        <f aca="false">D13-C13</f>
        <v>0</v>
      </c>
      <c r="G13" s="18" t="s">
        <v>26</v>
      </c>
      <c r="H13" s="22" t="n">
        <f aca="false">IF(C33=0,0,D33/C33)</f>
        <v>0.418865979381443</v>
      </c>
    </row>
    <row r="14" customFormat="false" ht="15" hidden="false" customHeight="false" outlineLevel="0" collapsed="false">
      <c r="B14" s="12" t="s">
        <v>27</v>
      </c>
      <c r="C14" s="23" t="n">
        <f aca="false">SUM(C8:C13)</f>
        <v>3200</v>
      </c>
      <c r="D14" s="23" t="n">
        <f aca="false">SUM(D8:D13)</f>
        <v>3200</v>
      </c>
      <c r="E14" s="23" t="n">
        <f aca="false">SUM(E8:E13)</f>
        <v>0</v>
      </c>
    </row>
    <row r="16" customFormat="false" ht="21.75" hidden="false" customHeight="true" outlineLevel="0" collapsed="false">
      <c r="B16" s="24" t="s">
        <v>28</v>
      </c>
      <c r="C16" s="24" t="s">
        <v>17</v>
      </c>
      <c r="D16" s="24" t="s">
        <v>18</v>
      </c>
      <c r="E16" s="24" t="s">
        <v>29</v>
      </c>
    </row>
    <row r="17" customFormat="false" ht="15" hidden="false" customHeight="false" outlineLevel="0" collapsed="false">
      <c r="B17" s="18" t="str">
        <f aca="false">Setup!D8</f>
        <v>Rent / Mortgage</v>
      </c>
      <c r="C17" s="19" t="n">
        <v>1100</v>
      </c>
      <c r="D17" s="20" t="n">
        <f aca="false">SUMIFS(Transactions!$F$6:$F$505,Transactions!$E$6:$E$505,B17,Transactions!$D$6:$D$505,"Expense",Transactions!$B$6:$B$505,"&gt;="&amp;$D$5,Transactions!$B$6:$B$505,"&lt;="&amp;$E$5)</f>
        <v>1100</v>
      </c>
      <c r="E17" s="20" t="n">
        <f aca="false">C17-D17</f>
        <v>0</v>
      </c>
    </row>
    <row r="18" customFormat="false" ht="15" hidden="false" customHeight="false" outlineLevel="0" collapsed="false">
      <c r="B18" s="18" t="str">
        <f aca="false">Setup!D9</f>
        <v>Utilities</v>
      </c>
      <c r="C18" s="19" t="n">
        <v>150</v>
      </c>
      <c r="D18" s="20" t="n">
        <f aca="false">SUMIFS(Transactions!$F$6:$F$505,Transactions!$E$6:$E$505,B18,Transactions!$D$6:$D$505,"Expense",Transactions!$B$6:$B$505,"&gt;="&amp;$D$5,Transactions!$B$6:$B$505,"&lt;="&amp;$E$5)</f>
        <v>0</v>
      </c>
      <c r="E18" s="20" t="n">
        <f aca="false">C18-D18</f>
        <v>150</v>
      </c>
    </row>
    <row r="19" customFormat="false" ht="15" hidden="false" customHeight="false" outlineLevel="0" collapsed="false">
      <c r="B19" s="18" t="str">
        <f aca="false">Setup!D10</f>
        <v>Groceries</v>
      </c>
      <c r="C19" s="19" t="n">
        <v>400</v>
      </c>
      <c r="D19" s="20" t="n">
        <f aca="false">SUMIFS(Transactions!$F$6:$F$505,Transactions!$E$6:$E$505,B19,Transactions!$D$6:$D$505,"Expense",Transactions!$B$6:$B$505,"&gt;="&amp;$D$5,Transactions!$B$6:$B$505,"&lt;="&amp;$E$5)</f>
        <v>86.4</v>
      </c>
      <c r="E19" s="20" t="n">
        <f aca="false">C19-D19</f>
        <v>313.6</v>
      </c>
    </row>
    <row r="20" customFormat="false" ht="15" hidden="false" customHeight="false" outlineLevel="0" collapsed="false">
      <c r="B20" s="18" t="str">
        <f aca="false">Setup!D11</f>
        <v>Eating out</v>
      </c>
      <c r="C20" s="19" t="n">
        <v>120</v>
      </c>
      <c r="D20" s="20" t="n">
        <f aca="false">SUMIFS(Transactions!$F$6:$F$505,Transactions!$E$6:$E$505,B20,Transactions!$D$6:$D$505,"Expense",Transactions!$B$6:$B$505,"&gt;="&amp;$D$5,Transactions!$B$6:$B$505,"&lt;="&amp;$E$5)</f>
        <v>32.5</v>
      </c>
      <c r="E20" s="20" t="n">
        <f aca="false">C20-D20</f>
        <v>87.5</v>
      </c>
    </row>
    <row r="21" customFormat="false" ht="15" hidden="false" customHeight="false" outlineLevel="0" collapsed="false">
      <c r="B21" s="18" t="str">
        <f aca="false">Setup!D12</f>
        <v>Transport</v>
      </c>
      <c r="C21" s="19" t="n">
        <v>150</v>
      </c>
      <c r="D21" s="20" t="n">
        <f aca="false">SUMIFS(Transactions!$F$6:$F$505,Transactions!$E$6:$E$505,B21,Transactions!$D$6:$D$505,"Expense",Transactions!$B$6:$B$505,"&gt;="&amp;$D$5,Transactions!$B$6:$B$505,"&lt;="&amp;$E$5)</f>
        <v>0</v>
      </c>
      <c r="E21" s="20" t="n">
        <f aca="false">C21-D21</f>
        <v>150</v>
      </c>
    </row>
    <row r="22" customFormat="false" ht="15" hidden="false" customHeight="false" outlineLevel="0" collapsed="false">
      <c r="B22" s="18" t="str">
        <f aca="false">Setup!D13</f>
        <v>Insurance</v>
      </c>
      <c r="C22" s="19" t="n">
        <v>80</v>
      </c>
      <c r="D22" s="20" t="n">
        <f aca="false">SUMIFS(Transactions!$F$6:$F$505,Transactions!$E$6:$E$505,B22,Transactions!$D$6:$D$505,"Expense",Transactions!$B$6:$B$505,"&gt;="&amp;$D$5,Transactions!$B$6:$B$505,"&lt;="&amp;$E$5)</f>
        <v>0</v>
      </c>
      <c r="E22" s="20" t="n">
        <f aca="false">C22-D22</f>
        <v>80</v>
      </c>
    </row>
    <row r="23" customFormat="false" ht="15" hidden="false" customHeight="false" outlineLevel="0" collapsed="false">
      <c r="B23" s="18" t="str">
        <f aca="false">Setup!D14</f>
        <v>Phone &amp; Internet</v>
      </c>
      <c r="C23" s="19" t="n">
        <v>60</v>
      </c>
      <c r="D23" s="20" t="n">
        <f aca="false">SUMIFS(Transactions!$F$6:$F$505,Transactions!$E$6:$E$505,B23,Transactions!$D$6:$D$505,"Expense",Transactions!$B$6:$B$505,"&gt;="&amp;$D$5,Transactions!$B$6:$B$505,"&lt;="&amp;$E$5)</f>
        <v>0</v>
      </c>
      <c r="E23" s="20" t="n">
        <f aca="false">C23-D23</f>
        <v>60</v>
      </c>
    </row>
    <row r="24" customFormat="false" ht="15" hidden="false" customHeight="false" outlineLevel="0" collapsed="false">
      <c r="B24" s="18" t="str">
        <f aca="false">Setup!D15</f>
        <v>Subscriptions</v>
      </c>
      <c r="C24" s="19" t="n">
        <v>40</v>
      </c>
      <c r="D24" s="20" t="n">
        <f aca="false">SUMIFS(Transactions!$F$6:$F$505,Transactions!$E$6:$E$505,B24,Transactions!$D$6:$D$505,"Expense",Transactions!$B$6:$B$505,"&gt;="&amp;$D$5,Transactions!$B$6:$B$505,"&lt;="&amp;$E$5)</f>
        <v>0</v>
      </c>
      <c r="E24" s="20" t="n">
        <f aca="false">C24-D24</f>
        <v>40</v>
      </c>
    </row>
    <row r="25" customFormat="false" ht="15" hidden="false" customHeight="false" outlineLevel="0" collapsed="false">
      <c r="B25" s="18" t="str">
        <f aca="false">Setup!D16</f>
        <v>Health</v>
      </c>
      <c r="C25" s="19" t="n">
        <v>50</v>
      </c>
      <c r="D25" s="20" t="n">
        <f aca="false">SUMIFS(Transactions!$F$6:$F$505,Transactions!$E$6:$E$505,B25,Transactions!$D$6:$D$505,"Expense",Transactions!$B$6:$B$505,"&gt;="&amp;$D$5,Transactions!$B$6:$B$505,"&lt;="&amp;$E$5)</f>
        <v>0</v>
      </c>
      <c r="E25" s="20" t="n">
        <f aca="false">C25-D25</f>
        <v>50</v>
      </c>
    </row>
    <row r="26" customFormat="false" ht="15" hidden="false" customHeight="false" outlineLevel="0" collapsed="false">
      <c r="B26" s="18" t="str">
        <f aca="false">Setup!D17</f>
        <v>Shopping</v>
      </c>
      <c r="C26" s="19" t="n">
        <v>100</v>
      </c>
      <c r="D26" s="20" t="n">
        <f aca="false">SUMIFS(Transactions!$F$6:$F$505,Transactions!$E$6:$E$505,B26,Transactions!$D$6:$D$505,"Expense",Transactions!$B$6:$B$505,"&gt;="&amp;$D$5,Transactions!$B$6:$B$505,"&lt;="&amp;$E$5)</f>
        <v>0</v>
      </c>
      <c r="E26" s="20" t="n">
        <f aca="false">C26-D26</f>
        <v>100</v>
      </c>
    </row>
    <row r="27" customFormat="false" ht="15" hidden="false" customHeight="false" outlineLevel="0" collapsed="false">
      <c r="B27" s="18" t="str">
        <f aca="false">Setup!D18</f>
        <v>Entertainment</v>
      </c>
      <c r="C27" s="19" t="n">
        <v>80</v>
      </c>
      <c r="D27" s="20" t="n">
        <f aca="false">SUMIFS(Transactions!$F$6:$F$505,Transactions!$E$6:$E$505,B27,Transactions!$D$6:$D$505,"Expense",Transactions!$B$6:$B$505,"&gt;="&amp;$D$5,Transactions!$B$6:$B$505,"&lt;="&amp;$E$5)</f>
        <v>0</v>
      </c>
      <c r="E27" s="20" t="n">
        <f aca="false">C27-D27</f>
        <v>80</v>
      </c>
    </row>
    <row r="28" customFormat="false" ht="15" hidden="false" customHeight="false" outlineLevel="0" collapsed="false">
      <c r="B28" s="18" t="str">
        <f aca="false">Setup!D19</f>
        <v>Gifts &amp; Donations</v>
      </c>
      <c r="C28" s="19" t="n">
        <v>40</v>
      </c>
      <c r="D28" s="20" t="n">
        <f aca="false">SUMIFS(Transactions!$F$6:$F$505,Transactions!$E$6:$E$505,B28,Transactions!$D$6:$D$505,"Expense",Transactions!$B$6:$B$505,"&gt;="&amp;$D$5,Transactions!$B$6:$B$505,"&lt;="&amp;$E$5)</f>
        <v>0</v>
      </c>
      <c r="E28" s="20" t="n">
        <f aca="false">C28-D28</f>
        <v>40</v>
      </c>
    </row>
    <row r="29" customFormat="false" ht="15" hidden="false" customHeight="false" outlineLevel="0" collapsed="false">
      <c r="B29" s="18" t="str">
        <f aca="false">Setup!D20</f>
        <v>Savings</v>
      </c>
      <c r="C29" s="19" t="n">
        <v>300</v>
      </c>
      <c r="D29" s="20" t="n">
        <f aca="false">SUMIFS(Transactions!$F$6:$F$505,Transactions!$E$6:$E$505,B29,Transactions!$D$6:$D$505,"Expense",Transactions!$B$6:$B$505,"&gt;="&amp;$D$5,Transactions!$B$6:$B$505,"&lt;="&amp;$E$5)</f>
        <v>0</v>
      </c>
      <c r="E29" s="20" t="n">
        <f aca="false">C29-D29</f>
        <v>300</v>
      </c>
    </row>
    <row r="30" customFormat="false" ht="15" hidden="false" customHeight="false" outlineLevel="0" collapsed="false">
      <c r="B30" s="18" t="str">
        <f aca="false">Setup!D21</f>
        <v>Debt payments</v>
      </c>
      <c r="C30" s="19" t="n">
        <v>150</v>
      </c>
      <c r="D30" s="20" t="n">
        <f aca="false">SUMIFS(Transactions!$F$6:$F$505,Transactions!$E$6:$E$505,B30,Transactions!$D$6:$D$505,"Expense",Transactions!$B$6:$B$505,"&gt;="&amp;$D$5,Transactions!$B$6:$B$505,"&lt;="&amp;$E$5)</f>
        <v>0</v>
      </c>
      <c r="E30" s="20" t="n">
        <f aca="false">C30-D30</f>
        <v>150</v>
      </c>
    </row>
    <row r="31" customFormat="false" ht="15" hidden="false" customHeight="false" outlineLevel="0" collapsed="false">
      <c r="B31" s="18" t="str">
        <f aca="false">Setup!D22</f>
        <v>Personal care</v>
      </c>
      <c r="C31" s="19" t="n">
        <v>40</v>
      </c>
      <c r="D31" s="20" t="n">
        <f aca="false">SUMIFS(Transactions!$F$6:$F$505,Transactions!$E$6:$E$505,B31,Transactions!$D$6:$D$505,"Expense",Transactions!$B$6:$B$505,"&gt;="&amp;$D$5,Transactions!$B$6:$B$505,"&lt;="&amp;$E$5)</f>
        <v>0</v>
      </c>
      <c r="E31" s="20" t="n">
        <f aca="false">C31-D31</f>
        <v>40</v>
      </c>
    </row>
    <row r="32" customFormat="false" ht="15" hidden="false" customHeight="false" outlineLevel="0" collapsed="false">
      <c r="B32" s="18" t="str">
        <f aca="false">Setup!D23</f>
        <v>Miscellaneous</v>
      </c>
      <c r="C32" s="19" t="n">
        <v>50</v>
      </c>
      <c r="D32" s="20" t="n">
        <f aca="false">SUMIFS(Transactions!$F$6:$F$505,Transactions!$E$6:$E$505,B32,Transactions!$D$6:$D$505,"Expense",Transactions!$B$6:$B$505,"&gt;="&amp;$D$5,Transactions!$B$6:$B$505,"&lt;="&amp;$E$5)</f>
        <v>0</v>
      </c>
      <c r="E32" s="20" t="n">
        <f aca="false">C32-D32</f>
        <v>50</v>
      </c>
    </row>
    <row r="33" customFormat="false" ht="15" hidden="false" customHeight="false" outlineLevel="0" collapsed="false">
      <c r="B33" s="12" t="s">
        <v>30</v>
      </c>
      <c r="C33" s="23" t="n">
        <f aca="false">SUM(C17:C32)</f>
        <v>2910</v>
      </c>
      <c r="D33" s="23" t="n">
        <f aca="false">SUM(D17:D32)</f>
        <v>1218.9</v>
      </c>
      <c r="E33" s="23" t="n">
        <f aca="false">SUM(E17:E32)</f>
        <v>1691.1</v>
      </c>
    </row>
  </sheetData>
  <conditionalFormatting sqref="E17:E33">
    <cfRule type="cellIs" priority="2" operator="lessThan" aboveAverage="0" equalAverage="0" bottom="0" percent="0" rank="0" text="" dxfId="0">
      <formula>0</formula>
    </cfRule>
  </conditionalFormatting>
  <conditionalFormatting sqref="E8:E14">
    <cfRule type="cellIs" priority="3" operator="lessThan" aboveAverage="0" equalAverage="0" bottom="0" percent="0" rank="0" text="" dxfId="0">
      <formula>0</formula>
    </cfRule>
  </conditionalFormatting>
  <conditionalFormatting sqref="H12">
    <cfRule type="cellIs" priority="4" operator="lessThan" aboveAverage="0" equalAverage="0" bottom="0" percent="0" rank="0" text="" dxfId="1">
      <formula>0</formula>
    </cfRule>
  </conditionalFormatting>
  <conditionalFormatting sqref="H13">
    <cfRule type="dataBar" priority="5">
      <dataBar showValue="1" minLength="10" maxLength="90">
        <cfvo type="num" val="0"/>
        <cfvo type="num" val="1"/>
        <color rgb="FFF2B632"/>
      </dataBar>
      <extLst>
        <ext xmlns:x14="http://schemas.microsoft.com/office/spreadsheetml/2009/9/main" uri="{B025F937-C7B1-47D3-B67F-A62EFF666E3E}">
          <x14:id>{FBA27BA0-2F56-44EC-ADEF-AD8384ADEC78}</x14:id>
        </ext>
      </extLst>
    </cfRule>
  </conditionalFormatting>
  <dataValidations count="1">
    <dataValidation allowBlank="false" errorStyle="stop" operator="between" showDropDown="false" showErrorMessage="false" showInputMessage="false" sqref="C5" type="list">
      <formula1>"January,February,March,April,May,June,July,August,September,October,November,December"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A27BA0-2F56-44EC-ADEF-AD8384ADEC7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F2B632"/>
              <x14:axisColor rgb="FF000000"/>
            </x14:dataBar>
          </x14:cfRule>
          <xm:sqref>H13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B5"/>
    <pageSetUpPr fitToPage="false"/>
  </sheetPr>
  <dimension ref="A1:P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14" min="3" style="0" width="11"/>
    <col collapsed="false" customWidth="true" hidden="false" outlineLevel="0" max="15" min="15" style="0" width="13"/>
  </cols>
  <sheetData>
    <row r="1" customFormat="false" ht="6" hidden="false" customHeight="true" outlineLevel="0" collapsed="false">
      <c r="A1" s="1"/>
      <c r="B1" s="2"/>
      <c r="C1" s="3"/>
      <c r="D1" s="11"/>
      <c r="E1" s="1"/>
      <c r="F1" s="2"/>
      <c r="G1" s="3"/>
      <c r="H1" s="11"/>
      <c r="I1" s="1"/>
      <c r="J1" s="2"/>
      <c r="K1" s="3"/>
      <c r="L1" s="11"/>
      <c r="M1" s="1"/>
      <c r="N1" s="2"/>
      <c r="O1" s="3"/>
      <c r="P1" s="11"/>
    </row>
    <row r="2" customFormat="false" ht="31.5" hidden="false" customHeight="true" outlineLevel="0" collapsed="false">
      <c r="A2" s="4"/>
      <c r="B2" s="5" t="s">
        <v>31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false" outlineLevel="0" collapsed="false">
      <c r="A3" s="4"/>
      <c r="B3" s="6" t="s">
        <v>32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5" customFormat="false" ht="21.75" hidden="false" customHeight="true" outlineLevel="0" collapsed="false">
      <c r="B5" s="25" t="s">
        <v>33</v>
      </c>
      <c r="C5" s="25" t="s">
        <v>34</v>
      </c>
      <c r="D5" s="25" t="s">
        <v>35</v>
      </c>
      <c r="E5" s="25" t="s">
        <v>36</v>
      </c>
      <c r="F5" s="25" t="s">
        <v>37</v>
      </c>
      <c r="G5" s="25" t="s">
        <v>38</v>
      </c>
      <c r="H5" s="25" t="s">
        <v>39</v>
      </c>
      <c r="I5" s="25" t="s">
        <v>40</v>
      </c>
      <c r="J5" s="25" t="s">
        <v>41</v>
      </c>
      <c r="K5" s="25" t="s">
        <v>42</v>
      </c>
      <c r="L5" s="25" t="s">
        <v>43</v>
      </c>
      <c r="M5" s="25" t="s">
        <v>44</v>
      </c>
      <c r="N5" s="25" t="s">
        <v>45</v>
      </c>
      <c r="O5" s="25" t="s">
        <v>46</v>
      </c>
    </row>
    <row r="6" customFormat="false" ht="15" hidden="false" customHeight="false" outlineLevel="0" collapsed="false">
      <c r="B6" s="26" t="s">
        <v>47</v>
      </c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</row>
    <row r="7" customFormat="false" ht="15" hidden="false" customHeight="false" outlineLevel="0" collapsed="false">
      <c r="B7" s="18" t="str">
        <f aca="false">Setup!B8</f>
        <v>Salary</v>
      </c>
      <c r="C7" s="28" t="n">
        <f aca="false">SUMIFS(Transactions!$F$6:$F$505,Transactions!$E$6:$E$505,$B7,Transactions!$D$6:$D$505,"Income",Transactions!$B$6:$B$505,"&gt;="&amp;DATE(Setup!$D$5,1,1),Transactions!$B$6:$B$505,"&lt;="&amp;EOMONTH(DATE(Setup!$D$5,1,1),0))</f>
        <v>3200</v>
      </c>
      <c r="D7" s="28" t="n">
        <f aca="false">SUMIFS(Transactions!$F$6:$F$505,Transactions!$E$6:$E$505,$B7,Transactions!$D$6:$D$505,"Income",Transactions!$B$6:$B$505,"&gt;="&amp;DATE(Setup!$D$5,2,1),Transactions!$B$6:$B$505,"&lt;="&amp;EOMONTH(DATE(Setup!$D$5,2,1),0))</f>
        <v>0</v>
      </c>
      <c r="E7" s="28" t="n">
        <f aca="false">SUMIFS(Transactions!$F$6:$F$505,Transactions!$E$6:$E$505,$B7,Transactions!$D$6:$D$505,"Income",Transactions!$B$6:$B$505,"&gt;="&amp;DATE(Setup!$D$5,3,1),Transactions!$B$6:$B$505,"&lt;="&amp;EOMONTH(DATE(Setup!$D$5,3,1),0))</f>
        <v>0</v>
      </c>
      <c r="F7" s="28" t="n">
        <f aca="false">SUMIFS(Transactions!$F$6:$F$505,Transactions!$E$6:$E$505,$B7,Transactions!$D$6:$D$505,"Income",Transactions!$B$6:$B$505,"&gt;="&amp;DATE(Setup!$D$5,4,1),Transactions!$B$6:$B$505,"&lt;="&amp;EOMONTH(DATE(Setup!$D$5,4,1),0))</f>
        <v>0</v>
      </c>
      <c r="G7" s="28" t="n">
        <f aca="false">SUMIFS(Transactions!$F$6:$F$505,Transactions!$E$6:$E$505,$B7,Transactions!$D$6:$D$505,"Income",Transactions!$B$6:$B$505,"&gt;="&amp;DATE(Setup!$D$5,5,1),Transactions!$B$6:$B$505,"&lt;="&amp;EOMONTH(DATE(Setup!$D$5,5,1),0))</f>
        <v>0</v>
      </c>
      <c r="H7" s="28" t="n">
        <f aca="false">SUMIFS(Transactions!$F$6:$F$505,Transactions!$E$6:$E$505,$B7,Transactions!$D$6:$D$505,"Income",Transactions!$B$6:$B$505,"&gt;="&amp;DATE(Setup!$D$5,6,1),Transactions!$B$6:$B$505,"&lt;="&amp;EOMONTH(DATE(Setup!$D$5,6,1),0))</f>
        <v>0</v>
      </c>
      <c r="I7" s="28" t="n">
        <f aca="false">SUMIFS(Transactions!$F$6:$F$505,Transactions!$E$6:$E$505,$B7,Transactions!$D$6:$D$505,"Income",Transactions!$B$6:$B$505,"&gt;="&amp;DATE(Setup!$D$5,7,1),Transactions!$B$6:$B$505,"&lt;="&amp;EOMONTH(DATE(Setup!$D$5,7,1),0))</f>
        <v>0</v>
      </c>
      <c r="J7" s="28" t="n">
        <f aca="false">SUMIFS(Transactions!$F$6:$F$505,Transactions!$E$6:$E$505,$B7,Transactions!$D$6:$D$505,"Income",Transactions!$B$6:$B$505,"&gt;="&amp;DATE(Setup!$D$5,8,1),Transactions!$B$6:$B$505,"&lt;="&amp;EOMONTH(DATE(Setup!$D$5,8,1),0))</f>
        <v>0</v>
      </c>
      <c r="K7" s="28" t="n">
        <f aca="false">SUMIFS(Transactions!$F$6:$F$505,Transactions!$E$6:$E$505,$B7,Transactions!$D$6:$D$505,"Income",Transactions!$B$6:$B$505,"&gt;="&amp;DATE(Setup!$D$5,9,1),Transactions!$B$6:$B$505,"&lt;="&amp;EOMONTH(DATE(Setup!$D$5,9,1),0))</f>
        <v>0</v>
      </c>
      <c r="L7" s="28" t="n">
        <f aca="false">SUMIFS(Transactions!$F$6:$F$505,Transactions!$E$6:$E$505,$B7,Transactions!$D$6:$D$505,"Income",Transactions!$B$6:$B$505,"&gt;="&amp;DATE(Setup!$D$5,10,1),Transactions!$B$6:$B$505,"&lt;="&amp;EOMONTH(DATE(Setup!$D$5,10,1),0))</f>
        <v>0</v>
      </c>
      <c r="M7" s="28" t="n">
        <f aca="false">SUMIFS(Transactions!$F$6:$F$505,Transactions!$E$6:$E$505,$B7,Transactions!$D$6:$D$505,"Income",Transactions!$B$6:$B$505,"&gt;="&amp;DATE(Setup!$D$5,11,1),Transactions!$B$6:$B$505,"&lt;="&amp;EOMONTH(DATE(Setup!$D$5,11,1),0))</f>
        <v>0</v>
      </c>
      <c r="N7" s="28" t="n">
        <f aca="false">SUMIFS(Transactions!$F$6:$F$505,Transactions!$E$6:$E$505,$B7,Transactions!$D$6:$D$505,"Income",Transactions!$B$6:$B$505,"&gt;="&amp;DATE(Setup!$D$5,12,1),Transactions!$B$6:$B$505,"&lt;="&amp;EOMONTH(DATE(Setup!$D$5,12,1),0))</f>
        <v>0</v>
      </c>
      <c r="O7" s="29" t="n">
        <f aca="false">SUM(C7:N7)</f>
        <v>3200</v>
      </c>
    </row>
    <row r="8" customFormat="false" ht="15" hidden="false" customHeight="false" outlineLevel="0" collapsed="false">
      <c r="B8" s="18" t="str">
        <f aca="false">Setup!B9</f>
        <v>Side hustle</v>
      </c>
      <c r="C8" s="28" t="n">
        <f aca="false">SUMIFS(Transactions!$F$6:$F$505,Transactions!$E$6:$E$505,$B8,Transactions!$D$6:$D$505,"Income",Transactions!$B$6:$B$505,"&gt;="&amp;DATE(Setup!$D$5,1,1),Transactions!$B$6:$B$505,"&lt;="&amp;EOMONTH(DATE(Setup!$D$5,1,1),0))</f>
        <v>0</v>
      </c>
      <c r="D8" s="28" t="n">
        <f aca="false">SUMIFS(Transactions!$F$6:$F$505,Transactions!$E$6:$E$505,$B8,Transactions!$D$6:$D$505,"Income",Transactions!$B$6:$B$505,"&gt;="&amp;DATE(Setup!$D$5,2,1),Transactions!$B$6:$B$505,"&lt;="&amp;EOMONTH(DATE(Setup!$D$5,2,1),0))</f>
        <v>0</v>
      </c>
      <c r="E8" s="28" t="n">
        <f aca="false">SUMIFS(Transactions!$F$6:$F$505,Transactions!$E$6:$E$505,$B8,Transactions!$D$6:$D$505,"Income",Transactions!$B$6:$B$505,"&gt;="&amp;DATE(Setup!$D$5,3,1),Transactions!$B$6:$B$505,"&lt;="&amp;EOMONTH(DATE(Setup!$D$5,3,1),0))</f>
        <v>0</v>
      </c>
      <c r="F8" s="28" t="n">
        <f aca="false">SUMIFS(Transactions!$F$6:$F$505,Transactions!$E$6:$E$505,$B8,Transactions!$D$6:$D$505,"Income",Transactions!$B$6:$B$505,"&gt;="&amp;DATE(Setup!$D$5,4,1),Transactions!$B$6:$B$505,"&lt;="&amp;EOMONTH(DATE(Setup!$D$5,4,1),0))</f>
        <v>0</v>
      </c>
      <c r="G8" s="28" t="n">
        <f aca="false">SUMIFS(Transactions!$F$6:$F$505,Transactions!$E$6:$E$505,$B8,Transactions!$D$6:$D$505,"Income",Transactions!$B$6:$B$505,"&gt;="&amp;DATE(Setup!$D$5,5,1),Transactions!$B$6:$B$505,"&lt;="&amp;EOMONTH(DATE(Setup!$D$5,5,1),0))</f>
        <v>0</v>
      </c>
      <c r="H8" s="28" t="n">
        <f aca="false">SUMIFS(Transactions!$F$6:$F$505,Transactions!$E$6:$E$505,$B8,Transactions!$D$6:$D$505,"Income",Transactions!$B$6:$B$505,"&gt;="&amp;DATE(Setup!$D$5,6,1),Transactions!$B$6:$B$505,"&lt;="&amp;EOMONTH(DATE(Setup!$D$5,6,1),0))</f>
        <v>0</v>
      </c>
      <c r="I8" s="28" t="n">
        <f aca="false">SUMIFS(Transactions!$F$6:$F$505,Transactions!$E$6:$E$505,$B8,Transactions!$D$6:$D$505,"Income",Transactions!$B$6:$B$505,"&gt;="&amp;DATE(Setup!$D$5,7,1),Transactions!$B$6:$B$505,"&lt;="&amp;EOMONTH(DATE(Setup!$D$5,7,1),0))</f>
        <v>0</v>
      </c>
      <c r="J8" s="28" t="n">
        <f aca="false">SUMIFS(Transactions!$F$6:$F$505,Transactions!$E$6:$E$505,$B8,Transactions!$D$6:$D$505,"Income",Transactions!$B$6:$B$505,"&gt;="&amp;DATE(Setup!$D$5,8,1),Transactions!$B$6:$B$505,"&lt;="&amp;EOMONTH(DATE(Setup!$D$5,8,1),0))</f>
        <v>0</v>
      </c>
      <c r="K8" s="28" t="n">
        <f aca="false">SUMIFS(Transactions!$F$6:$F$505,Transactions!$E$6:$E$505,$B8,Transactions!$D$6:$D$505,"Income",Transactions!$B$6:$B$505,"&gt;="&amp;DATE(Setup!$D$5,9,1),Transactions!$B$6:$B$505,"&lt;="&amp;EOMONTH(DATE(Setup!$D$5,9,1),0))</f>
        <v>0</v>
      </c>
      <c r="L8" s="28" t="n">
        <f aca="false">SUMIFS(Transactions!$F$6:$F$505,Transactions!$E$6:$E$505,$B8,Transactions!$D$6:$D$505,"Income",Transactions!$B$6:$B$505,"&gt;="&amp;DATE(Setup!$D$5,10,1),Transactions!$B$6:$B$505,"&lt;="&amp;EOMONTH(DATE(Setup!$D$5,10,1),0))</f>
        <v>0</v>
      </c>
      <c r="M8" s="28" t="n">
        <f aca="false">SUMIFS(Transactions!$F$6:$F$505,Transactions!$E$6:$E$505,$B8,Transactions!$D$6:$D$505,"Income",Transactions!$B$6:$B$505,"&gt;="&amp;DATE(Setup!$D$5,11,1),Transactions!$B$6:$B$505,"&lt;="&amp;EOMONTH(DATE(Setup!$D$5,11,1),0))</f>
        <v>0</v>
      </c>
      <c r="N8" s="28" t="n">
        <f aca="false">SUMIFS(Transactions!$F$6:$F$505,Transactions!$E$6:$E$505,$B8,Transactions!$D$6:$D$505,"Income",Transactions!$B$6:$B$505,"&gt;="&amp;DATE(Setup!$D$5,12,1),Transactions!$B$6:$B$505,"&lt;="&amp;EOMONTH(DATE(Setup!$D$5,12,1),0))</f>
        <v>0</v>
      </c>
      <c r="O8" s="29" t="n">
        <f aca="false">SUM(C8:N8)</f>
        <v>0</v>
      </c>
    </row>
    <row r="9" customFormat="false" ht="15" hidden="false" customHeight="false" outlineLevel="0" collapsed="false">
      <c r="B9" s="18" t="str">
        <f aca="false">Setup!B10</f>
        <v>Freelance</v>
      </c>
      <c r="C9" s="28" t="n">
        <f aca="false">SUMIFS(Transactions!$F$6:$F$505,Transactions!$E$6:$E$505,$B9,Transactions!$D$6:$D$505,"Income",Transactions!$B$6:$B$505,"&gt;="&amp;DATE(Setup!$D$5,1,1),Transactions!$B$6:$B$505,"&lt;="&amp;EOMONTH(DATE(Setup!$D$5,1,1),0))</f>
        <v>0</v>
      </c>
      <c r="D9" s="28" t="n">
        <f aca="false">SUMIFS(Transactions!$F$6:$F$505,Transactions!$E$6:$E$505,$B9,Transactions!$D$6:$D$505,"Income",Transactions!$B$6:$B$505,"&gt;="&amp;DATE(Setup!$D$5,2,1),Transactions!$B$6:$B$505,"&lt;="&amp;EOMONTH(DATE(Setup!$D$5,2,1),0))</f>
        <v>0</v>
      </c>
      <c r="E9" s="28" t="n">
        <f aca="false">SUMIFS(Transactions!$F$6:$F$505,Transactions!$E$6:$E$505,$B9,Transactions!$D$6:$D$505,"Income",Transactions!$B$6:$B$505,"&gt;="&amp;DATE(Setup!$D$5,3,1),Transactions!$B$6:$B$505,"&lt;="&amp;EOMONTH(DATE(Setup!$D$5,3,1),0))</f>
        <v>0</v>
      </c>
      <c r="F9" s="28" t="n">
        <f aca="false">SUMIFS(Transactions!$F$6:$F$505,Transactions!$E$6:$E$505,$B9,Transactions!$D$6:$D$505,"Income",Transactions!$B$6:$B$505,"&gt;="&amp;DATE(Setup!$D$5,4,1),Transactions!$B$6:$B$505,"&lt;="&amp;EOMONTH(DATE(Setup!$D$5,4,1),0))</f>
        <v>0</v>
      </c>
      <c r="G9" s="28" t="n">
        <f aca="false">SUMIFS(Transactions!$F$6:$F$505,Transactions!$E$6:$E$505,$B9,Transactions!$D$6:$D$505,"Income",Transactions!$B$6:$B$505,"&gt;="&amp;DATE(Setup!$D$5,5,1),Transactions!$B$6:$B$505,"&lt;="&amp;EOMONTH(DATE(Setup!$D$5,5,1),0))</f>
        <v>0</v>
      </c>
      <c r="H9" s="28" t="n">
        <f aca="false">SUMIFS(Transactions!$F$6:$F$505,Transactions!$E$6:$E$505,$B9,Transactions!$D$6:$D$505,"Income",Transactions!$B$6:$B$505,"&gt;="&amp;DATE(Setup!$D$5,6,1),Transactions!$B$6:$B$505,"&lt;="&amp;EOMONTH(DATE(Setup!$D$5,6,1),0))</f>
        <v>0</v>
      </c>
      <c r="I9" s="28" t="n">
        <f aca="false">SUMIFS(Transactions!$F$6:$F$505,Transactions!$E$6:$E$505,$B9,Transactions!$D$6:$D$505,"Income",Transactions!$B$6:$B$505,"&gt;="&amp;DATE(Setup!$D$5,7,1),Transactions!$B$6:$B$505,"&lt;="&amp;EOMONTH(DATE(Setup!$D$5,7,1),0))</f>
        <v>0</v>
      </c>
      <c r="J9" s="28" t="n">
        <f aca="false">SUMIFS(Transactions!$F$6:$F$505,Transactions!$E$6:$E$505,$B9,Transactions!$D$6:$D$505,"Income",Transactions!$B$6:$B$505,"&gt;="&amp;DATE(Setup!$D$5,8,1),Transactions!$B$6:$B$505,"&lt;="&amp;EOMONTH(DATE(Setup!$D$5,8,1),0))</f>
        <v>0</v>
      </c>
      <c r="K9" s="28" t="n">
        <f aca="false">SUMIFS(Transactions!$F$6:$F$505,Transactions!$E$6:$E$505,$B9,Transactions!$D$6:$D$505,"Income",Transactions!$B$6:$B$505,"&gt;="&amp;DATE(Setup!$D$5,9,1),Transactions!$B$6:$B$505,"&lt;="&amp;EOMONTH(DATE(Setup!$D$5,9,1),0))</f>
        <v>0</v>
      </c>
      <c r="L9" s="28" t="n">
        <f aca="false">SUMIFS(Transactions!$F$6:$F$505,Transactions!$E$6:$E$505,$B9,Transactions!$D$6:$D$505,"Income",Transactions!$B$6:$B$505,"&gt;="&amp;DATE(Setup!$D$5,10,1),Transactions!$B$6:$B$505,"&lt;="&amp;EOMONTH(DATE(Setup!$D$5,10,1),0))</f>
        <v>0</v>
      </c>
      <c r="M9" s="28" t="n">
        <f aca="false">SUMIFS(Transactions!$F$6:$F$505,Transactions!$E$6:$E$505,$B9,Transactions!$D$6:$D$505,"Income",Transactions!$B$6:$B$505,"&gt;="&amp;DATE(Setup!$D$5,11,1),Transactions!$B$6:$B$505,"&lt;="&amp;EOMONTH(DATE(Setup!$D$5,11,1),0))</f>
        <v>0</v>
      </c>
      <c r="N9" s="28" t="n">
        <f aca="false">SUMIFS(Transactions!$F$6:$F$505,Transactions!$E$6:$E$505,$B9,Transactions!$D$6:$D$505,"Income",Transactions!$B$6:$B$505,"&gt;="&amp;DATE(Setup!$D$5,12,1),Transactions!$B$6:$B$505,"&lt;="&amp;EOMONTH(DATE(Setup!$D$5,12,1),0))</f>
        <v>0</v>
      </c>
      <c r="O9" s="29" t="n">
        <f aca="false">SUM(C9:N9)</f>
        <v>0</v>
      </c>
    </row>
    <row r="10" customFormat="false" ht="15" hidden="false" customHeight="false" outlineLevel="0" collapsed="false">
      <c r="B10" s="18" t="str">
        <f aca="false">Setup!B11</f>
        <v>Gifts</v>
      </c>
      <c r="C10" s="28" t="n">
        <f aca="false">SUMIFS(Transactions!$F$6:$F$505,Transactions!$E$6:$E$505,$B10,Transactions!$D$6:$D$505,"Income",Transactions!$B$6:$B$505,"&gt;="&amp;DATE(Setup!$D$5,1,1),Transactions!$B$6:$B$505,"&lt;="&amp;EOMONTH(DATE(Setup!$D$5,1,1),0))</f>
        <v>0</v>
      </c>
      <c r="D10" s="28" t="n">
        <f aca="false">SUMIFS(Transactions!$F$6:$F$505,Transactions!$E$6:$E$505,$B10,Transactions!$D$6:$D$505,"Income",Transactions!$B$6:$B$505,"&gt;="&amp;DATE(Setup!$D$5,2,1),Transactions!$B$6:$B$505,"&lt;="&amp;EOMONTH(DATE(Setup!$D$5,2,1),0))</f>
        <v>0</v>
      </c>
      <c r="E10" s="28" t="n">
        <f aca="false">SUMIFS(Transactions!$F$6:$F$505,Transactions!$E$6:$E$505,$B10,Transactions!$D$6:$D$505,"Income",Transactions!$B$6:$B$505,"&gt;="&amp;DATE(Setup!$D$5,3,1),Transactions!$B$6:$B$505,"&lt;="&amp;EOMONTH(DATE(Setup!$D$5,3,1),0))</f>
        <v>0</v>
      </c>
      <c r="F10" s="28" t="n">
        <f aca="false">SUMIFS(Transactions!$F$6:$F$505,Transactions!$E$6:$E$505,$B10,Transactions!$D$6:$D$505,"Income",Transactions!$B$6:$B$505,"&gt;="&amp;DATE(Setup!$D$5,4,1),Transactions!$B$6:$B$505,"&lt;="&amp;EOMONTH(DATE(Setup!$D$5,4,1),0))</f>
        <v>0</v>
      </c>
      <c r="G10" s="28" t="n">
        <f aca="false">SUMIFS(Transactions!$F$6:$F$505,Transactions!$E$6:$E$505,$B10,Transactions!$D$6:$D$505,"Income",Transactions!$B$6:$B$505,"&gt;="&amp;DATE(Setup!$D$5,5,1),Transactions!$B$6:$B$505,"&lt;="&amp;EOMONTH(DATE(Setup!$D$5,5,1),0))</f>
        <v>0</v>
      </c>
      <c r="H10" s="28" t="n">
        <f aca="false">SUMIFS(Transactions!$F$6:$F$505,Transactions!$E$6:$E$505,$B10,Transactions!$D$6:$D$505,"Income",Transactions!$B$6:$B$505,"&gt;="&amp;DATE(Setup!$D$5,6,1),Transactions!$B$6:$B$505,"&lt;="&amp;EOMONTH(DATE(Setup!$D$5,6,1),0))</f>
        <v>0</v>
      </c>
      <c r="I10" s="28" t="n">
        <f aca="false">SUMIFS(Transactions!$F$6:$F$505,Transactions!$E$6:$E$505,$B10,Transactions!$D$6:$D$505,"Income",Transactions!$B$6:$B$505,"&gt;="&amp;DATE(Setup!$D$5,7,1),Transactions!$B$6:$B$505,"&lt;="&amp;EOMONTH(DATE(Setup!$D$5,7,1),0))</f>
        <v>0</v>
      </c>
      <c r="J10" s="28" t="n">
        <f aca="false">SUMIFS(Transactions!$F$6:$F$505,Transactions!$E$6:$E$505,$B10,Transactions!$D$6:$D$505,"Income",Transactions!$B$6:$B$505,"&gt;="&amp;DATE(Setup!$D$5,8,1),Transactions!$B$6:$B$505,"&lt;="&amp;EOMONTH(DATE(Setup!$D$5,8,1),0))</f>
        <v>0</v>
      </c>
      <c r="K10" s="28" t="n">
        <f aca="false">SUMIFS(Transactions!$F$6:$F$505,Transactions!$E$6:$E$505,$B10,Transactions!$D$6:$D$505,"Income",Transactions!$B$6:$B$505,"&gt;="&amp;DATE(Setup!$D$5,9,1),Transactions!$B$6:$B$505,"&lt;="&amp;EOMONTH(DATE(Setup!$D$5,9,1),0))</f>
        <v>0</v>
      </c>
      <c r="L10" s="28" t="n">
        <f aca="false">SUMIFS(Transactions!$F$6:$F$505,Transactions!$E$6:$E$505,$B10,Transactions!$D$6:$D$505,"Income",Transactions!$B$6:$B$505,"&gt;="&amp;DATE(Setup!$D$5,10,1),Transactions!$B$6:$B$505,"&lt;="&amp;EOMONTH(DATE(Setup!$D$5,10,1),0))</f>
        <v>0</v>
      </c>
      <c r="M10" s="28" t="n">
        <f aca="false">SUMIFS(Transactions!$F$6:$F$505,Transactions!$E$6:$E$505,$B10,Transactions!$D$6:$D$505,"Income",Transactions!$B$6:$B$505,"&gt;="&amp;DATE(Setup!$D$5,11,1),Transactions!$B$6:$B$505,"&lt;="&amp;EOMONTH(DATE(Setup!$D$5,11,1),0))</f>
        <v>0</v>
      </c>
      <c r="N10" s="28" t="n">
        <f aca="false">SUMIFS(Transactions!$F$6:$F$505,Transactions!$E$6:$E$505,$B10,Transactions!$D$6:$D$505,"Income",Transactions!$B$6:$B$505,"&gt;="&amp;DATE(Setup!$D$5,12,1),Transactions!$B$6:$B$505,"&lt;="&amp;EOMONTH(DATE(Setup!$D$5,12,1),0))</f>
        <v>0</v>
      </c>
      <c r="O10" s="29" t="n">
        <f aca="false">SUM(C10:N10)</f>
        <v>0</v>
      </c>
    </row>
    <row r="11" customFormat="false" ht="15" hidden="false" customHeight="false" outlineLevel="0" collapsed="false">
      <c r="B11" s="18" t="str">
        <f aca="false">Setup!B12</f>
        <v>Interest</v>
      </c>
      <c r="C11" s="28" t="n">
        <f aca="false">SUMIFS(Transactions!$F$6:$F$505,Transactions!$E$6:$E$505,$B11,Transactions!$D$6:$D$505,"Income",Transactions!$B$6:$B$505,"&gt;="&amp;DATE(Setup!$D$5,1,1),Transactions!$B$6:$B$505,"&lt;="&amp;EOMONTH(DATE(Setup!$D$5,1,1),0))</f>
        <v>0</v>
      </c>
      <c r="D11" s="28" t="n">
        <f aca="false">SUMIFS(Transactions!$F$6:$F$505,Transactions!$E$6:$E$505,$B11,Transactions!$D$6:$D$505,"Income",Transactions!$B$6:$B$505,"&gt;="&amp;DATE(Setup!$D$5,2,1),Transactions!$B$6:$B$505,"&lt;="&amp;EOMONTH(DATE(Setup!$D$5,2,1),0))</f>
        <v>0</v>
      </c>
      <c r="E11" s="28" t="n">
        <f aca="false">SUMIFS(Transactions!$F$6:$F$505,Transactions!$E$6:$E$505,$B11,Transactions!$D$6:$D$505,"Income",Transactions!$B$6:$B$505,"&gt;="&amp;DATE(Setup!$D$5,3,1),Transactions!$B$6:$B$505,"&lt;="&amp;EOMONTH(DATE(Setup!$D$5,3,1),0))</f>
        <v>0</v>
      </c>
      <c r="F11" s="28" t="n">
        <f aca="false">SUMIFS(Transactions!$F$6:$F$505,Transactions!$E$6:$E$505,$B11,Transactions!$D$6:$D$505,"Income",Transactions!$B$6:$B$505,"&gt;="&amp;DATE(Setup!$D$5,4,1),Transactions!$B$6:$B$505,"&lt;="&amp;EOMONTH(DATE(Setup!$D$5,4,1),0))</f>
        <v>0</v>
      </c>
      <c r="G11" s="28" t="n">
        <f aca="false">SUMIFS(Transactions!$F$6:$F$505,Transactions!$E$6:$E$505,$B11,Transactions!$D$6:$D$505,"Income",Transactions!$B$6:$B$505,"&gt;="&amp;DATE(Setup!$D$5,5,1),Transactions!$B$6:$B$505,"&lt;="&amp;EOMONTH(DATE(Setup!$D$5,5,1),0))</f>
        <v>0</v>
      </c>
      <c r="H11" s="28" t="n">
        <f aca="false">SUMIFS(Transactions!$F$6:$F$505,Transactions!$E$6:$E$505,$B11,Transactions!$D$6:$D$505,"Income",Transactions!$B$6:$B$505,"&gt;="&amp;DATE(Setup!$D$5,6,1),Transactions!$B$6:$B$505,"&lt;="&amp;EOMONTH(DATE(Setup!$D$5,6,1),0))</f>
        <v>0</v>
      </c>
      <c r="I11" s="28" t="n">
        <f aca="false">SUMIFS(Transactions!$F$6:$F$505,Transactions!$E$6:$E$505,$B11,Transactions!$D$6:$D$505,"Income",Transactions!$B$6:$B$505,"&gt;="&amp;DATE(Setup!$D$5,7,1),Transactions!$B$6:$B$505,"&lt;="&amp;EOMONTH(DATE(Setup!$D$5,7,1),0))</f>
        <v>0</v>
      </c>
      <c r="J11" s="28" t="n">
        <f aca="false">SUMIFS(Transactions!$F$6:$F$505,Transactions!$E$6:$E$505,$B11,Transactions!$D$6:$D$505,"Income",Transactions!$B$6:$B$505,"&gt;="&amp;DATE(Setup!$D$5,8,1),Transactions!$B$6:$B$505,"&lt;="&amp;EOMONTH(DATE(Setup!$D$5,8,1),0))</f>
        <v>0</v>
      </c>
      <c r="K11" s="28" t="n">
        <f aca="false">SUMIFS(Transactions!$F$6:$F$505,Transactions!$E$6:$E$505,$B11,Transactions!$D$6:$D$505,"Income",Transactions!$B$6:$B$505,"&gt;="&amp;DATE(Setup!$D$5,9,1),Transactions!$B$6:$B$505,"&lt;="&amp;EOMONTH(DATE(Setup!$D$5,9,1),0))</f>
        <v>0</v>
      </c>
      <c r="L11" s="28" t="n">
        <f aca="false">SUMIFS(Transactions!$F$6:$F$505,Transactions!$E$6:$E$505,$B11,Transactions!$D$6:$D$505,"Income",Transactions!$B$6:$B$505,"&gt;="&amp;DATE(Setup!$D$5,10,1),Transactions!$B$6:$B$505,"&lt;="&amp;EOMONTH(DATE(Setup!$D$5,10,1),0))</f>
        <v>0</v>
      </c>
      <c r="M11" s="28" t="n">
        <f aca="false">SUMIFS(Transactions!$F$6:$F$505,Transactions!$E$6:$E$505,$B11,Transactions!$D$6:$D$505,"Income",Transactions!$B$6:$B$505,"&gt;="&amp;DATE(Setup!$D$5,11,1),Transactions!$B$6:$B$505,"&lt;="&amp;EOMONTH(DATE(Setup!$D$5,11,1),0))</f>
        <v>0</v>
      </c>
      <c r="N11" s="28" t="n">
        <f aca="false">SUMIFS(Transactions!$F$6:$F$505,Transactions!$E$6:$E$505,$B11,Transactions!$D$6:$D$505,"Income",Transactions!$B$6:$B$505,"&gt;="&amp;DATE(Setup!$D$5,12,1),Transactions!$B$6:$B$505,"&lt;="&amp;EOMONTH(DATE(Setup!$D$5,12,1),0))</f>
        <v>0</v>
      </c>
      <c r="O11" s="29" t="n">
        <f aca="false">SUM(C11:N11)</f>
        <v>0</v>
      </c>
    </row>
    <row r="12" customFormat="false" ht="15" hidden="false" customHeight="false" outlineLevel="0" collapsed="false">
      <c r="B12" s="18" t="str">
        <f aca="false">Setup!B13</f>
        <v>Other income</v>
      </c>
      <c r="C12" s="28" t="n">
        <f aca="false">SUMIFS(Transactions!$F$6:$F$505,Transactions!$E$6:$E$505,$B12,Transactions!$D$6:$D$505,"Income",Transactions!$B$6:$B$505,"&gt;="&amp;DATE(Setup!$D$5,1,1),Transactions!$B$6:$B$505,"&lt;="&amp;EOMONTH(DATE(Setup!$D$5,1,1),0))</f>
        <v>0</v>
      </c>
      <c r="D12" s="28" t="n">
        <f aca="false">SUMIFS(Transactions!$F$6:$F$505,Transactions!$E$6:$E$505,$B12,Transactions!$D$6:$D$505,"Income",Transactions!$B$6:$B$505,"&gt;="&amp;DATE(Setup!$D$5,2,1),Transactions!$B$6:$B$505,"&lt;="&amp;EOMONTH(DATE(Setup!$D$5,2,1),0))</f>
        <v>0</v>
      </c>
      <c r="E12" s="28" t="n">
        <f aca="false">SUMIFS(Transactions!$F$6:$F$505,Transactions!$E$6:$E$505,$B12,Transactions!$D$6:$D$505,"Income",Transactions!$B$6:$B$505,"&gt;="&amp;DATE(Setup!$D$5,3,1),Transactions!$B$6:$B$505,"&lt;="&amp;EOMONTH(DATE(Setup!$D$5,3,1),0))</f>
        <v>0</v>
      </c>
      <c r="F12" s="28" t="n">
        <f aca="false">SUMIFS(Transactions!$F$6:$F$505,Transactions!$E$6:$E$505,$B12,Transactions!$D$6:$D$505,"Income",Transactions!$B$6:$B$505,"&gt;="&amp;DATE(Setup!$D$5,4,1),Transactions!$B$6:$B$505,"&lt;="&amp;EOMONTH(DATE(Setup!$D$5,4,1),0))</f>
        <v>0</v>
      </c>
      <c r="G12" s="28" t="n">
        <f aca="false">SUMIFS(Transactions!$F$6:$F$505,Transactions!$E$6:$E$505,$B12,Transactions!$D$6:$D$505,"Income",Transactions!$B$6:$B$505,"&gt;="&amp;DATE(Setup!$D$5,5,1),Transactions!$B$6:$B$505,"&lt;="&amp;EOMONTH(DATE(Setup!$D$5,5,1),0))</f>
        <v>0</v>
      </c>
      <c r="H12" s="28" t="n">
        <f aca="false">SUMIFS(Transactions!$F$6:$F$505,Transactions!$E$6:$E$505,$B12,Transactions!$D$6:$D$505,"Income",Transactions!$B$6:$B$505,"&gt;="&amp;DATE(Setup!$D$5,6,1),Transactions!$B$6:$B$505,"&lt;="&amp;EOMONTH(DATE(Setup!$D$5,6,1),0))</f>
        <v>0</v>
      </c>
      <c r="I12" s="28" t="n">
        <f aca="false">SUMIFS(Transactions!$F$6:$F$505,Transactions!$E$6:$E$505,$B12,Transactions!$D$6:$D$505,"Income",Transactions!$B$6:$B$505,"&gt;="&amp;DATE(Setup!$D$5,7,1),Transactions!$B$6:$B$505,"&lt;="&amp;EOMONTH(DATE(Setup!$D$5,7,1),0))</f>
        <v>0</v>
      </c>
      <c r="J12" s="28" t="n">
        <f aca="false">SUMIFS(Transactions!$F$6:$F$505,Transactions!$E$6:$E$505,$B12,Transactions!$D$6:$D$505,"Income",Transactions!$B$6:$B$505,"&gt;="&amp;DATE(Setup!$D$5,8,1),Transactions!$B$6:$B$505,"&lt;="&amp;EOMONTH(DATE(Setup!$D$5,8,1),0))</f>
        <v>0</v>
      </c>
      <c r="K12" s="28" t="n">
        <f aca="false">SUMIFS(Transactions!$F$6:$F$505,Transactions!$E$6:$E$505,$B12,Transactions!$D$6:$D$505,"Income",Transactions!$B$6:$B$505,"&gt;="&amp;DATE(Setup!$D$5,9,1),Transactions!$B$6:$B$505,"&lt;="&amp;EOMONTH(DATE(Setup!$D$5,9,1),0))</f>
        <v>0</v>
      </c>
      <c r="L12" s="28" t="n">
        <f aca="false">SUMIFS(Transactions!$F$6:$F$505,Transactions!$E$6:$E$505,$B12,Transactions!$D$6:$D$505,"Income",Transactions!$B$6:$B$505,"&gt;="&amp;DATE(Setup!$D$5,10,1),Transactions!$B$6:$B$505,"&lt;="&amp;EOMONTH(DATE(Setup!$D$5,10,1),0))</f>
        <v>0</v>
      </c>
      <c r="M12" s="28" t="n">
        <f aca="false">SUMIFS(Transactions!$F$6:$F$505,Transactions!$E$6:$E$505,$B12,Transactions!$D$6:$D$505,"Income",Transactions!$B$6:$B$505,"&gt;="&amp;DATE(Setup!$D$5,11,1),Transactions!$B$6:$B$505,"&lt;="&amp;EOMONTH(DATE(Setup!$D$5,11,1),0))</f>
        <v>0</v>
      </c>
      <c r="N12" s="28" t="n">
        <f aca="false">SUMIFS(Transactions!$F$6:$F$505,Transactions!$E$6:$E$505,$B12,Transactions!$D$6:$D$505,"Income",Transactions!$B$6:$B$505,"&gt;="&amp;DATE(Setup!$D$5,12,1),Transactions!$B$6:$B$505,"&lt;="&amp;EOMONTH(DATE(Setup!$D$5,12,1),0))</f>
        <v>0</v>
      </c>
      <c r="O12" s="29" t="n">
        <f aca="false">SUM(C12:N12)</f>
        <v>0</v>
      </c>
    </row>
    <row r="13" customFormat="false" ht="15" hidden="false" customHeight="false" outlineLevel="0" collapsed="false">
      <c r="B13" s="30" t="s">
        <v>48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</row>
    <row r="14" customFormat="false" ht="15" hidden="false" customHeight="false" outlineLevel="0" collapsed="false">
      <c r="B14" s="18" t="str">
        <f aca="false">Setup!D8</f>
        <v>Rent / Mortgage</v>
      </c>
      <c r="C14" s="28" t="n">
        <f aca="false">SUMIFS(Transactions!$F$6:$F$505,Transactions!$E$6:$E$505,$B14,Transactions!$D$6:$D$505,"Expense",Transactions!$B$6:$B$505,"&gt;="&amp;DATE(Setup!$D$5,1,1),Transactions!$B$6:$B$505,"&lt;="&amp;EOMONTH(DATE(Setup!$D$5,1,1),0))</f>
        <v>1100</v>
      </c>
      <c r="D14" s="28" t="n">
        <f aca="false">SUMIFS(Transactions!$F$6:$F$505,Transactions!$E$6:$E$505,$B14,Transactions!$D$6:$D$505,"Expense",Transactions!$B$6:$B$505,"&gt;="&amp;DATE(Setup!$D$5,2,1),Transactions!$B$6:$B$505,"&lt;="&amp;EOMONTH(DATE(Setup!$D$5,2,1),0))</f>
        <v>0</v>
      </c>
      <c r="E14" s="28" t="n">
        <f aca="false">SUMIFS(Transactions!$F$6:$F$505,Transactions!$E$6:$E$505,$B14,Transactions!$D$6:$D$505,"Expense",Transactions!$B$6:$B$505,"&gt;="&amp;DATE(Setup!$D$5,3,1),Transactions!$B$6:$B$505,"&lt;="&amp;EOMONTH(DATE(Setup!$D$5,3,1),0))</f>
        <v>0</v>
      </c>
      <c r="F14" s="28" t="n">
        <f aca="false">SUMIFS(Transactions!$F$6:$F$505,Transactions!$E$6:$E$505,$B14,Transactions!$D$6:$D$505,"Expense",Transactions!$B$6:$B$505,"&gt;="&amp;DATE(Setup!$D$5,4,1),Transactions!$B$6:$B$505,"&lt;="&amp;EOMONTH(DATE(Setup!$D$5,4,1),0))</f>
        <v>0</v>
      </c>
      <c r="G14" s="28" t="n">
        <f aca="false">SUMIFS(Transactions!$F$6:$F$505,Transactions!$E$6:$E$505,$B14,Transactions!$D$6:$D$505,"Expense",Transactions!$B$6:$B$505,"&gt;="&amp;DATE(Setup!$D$5,5,1),Transactions!$B$6:$B$505,"&lt;="&amp;EOMONTH(DATE(Setup!$D$5,5,1),0))</f>
        <v>0</v>
      </c>
      <c r="H14" s="28" t="n">
        <f aca="false">SUMIFS(Transactions!$F$6:$F$505,Transactions!$E$6:$E$505,$B14,Transactions!$D$6:$D$505,"Expense",Transactions!$B$6:$B$505,"&gt;="&amp;DATE(Setup!$D$5,6,1),Transactions!$B$6:$B$505,"&lt;="&amp;EOMONTH(DATE(Setup!$D$5,6,1),0))</f>
        <v>0</v>
      </c>
      <c r="I14" s="28" t="n">
        <f aca="false">SUMIFS(Transactions!$F$6:$F$505,Transactions!$E$6:$E$505,$B14,Transactions!$D$6:$D$505,"Expense",Transactions!$B$6:$B$505,"&gt;="&amp;DATE(Setup!$D$5,7,1),Transactions!$B$6:$B$505,"&lt;="&amp;EOMONTH(DATE(Setup!$D$5,7,1),0))</f>
        <v>0</v>
      </c>
      <c r="J14" s="28" t="n">
        <f aca="false">SUMIFS(Transactions!$F$6:$F$505,Transactions!$E$6:$E$505,$B14,Transactions!$D$6:$D$505,"Expense",Transactions!$B$6:$B$505,"&gt;="&amp;DATE(Setup!$D$5,8,1),Transactions!$B$6:$B$505,"&lt;="&amp;EOMONTH(DATE(Setup!$D$5,8,1),0))</f>
        <v>0</v>
      </c>
      <c r="K14" s="28" t="n">
        <f aca="false">SUMIFS(Transactions!$F$6:$F$505,Transactions!$E$6:$E$505,$B14,Transactions!$D$6:$D$505,"Expense",Transactions!$B$6:$B$505,"&gt;="&amp;DATE(Setup!$D$5,9,1),Transactions!$B$6:$B$505,"&lt;="&amp;EOMONTH(DATE(Setup!$D$5,9,1),0))</f>
        <v>0</v>
      </c>
      <c r="L14" s="28" t="n">
        <f aca="false">SUMIFS(Transactions!$F$6:$F$505,Transactions!$E$6:$E$505,$B14,Transactions!$D$6:$D$505,"Expense",Transactions!$B$6:$B$505,"&gt;="&amp;DATE(Setup!$D$5,10,1),Transactions!$B$6:$B$505,"&lt;="&amp;EOMONTH(DATE(Setup!$D$5,10,1),0))</f>
        <v>0</v>
      </c>
      <c r="M14" s="28" t="n">
        <f aca="false">SUMIFS(Transactions!$F$6:$F$505,Transactions!$E$6:$E$505,$B14,Transactions!$D$6:$D$505,"Expense",Transactions!$B$6:$B$505,"&gt;="&amp;DATE(Setup!$D$5,11,1),Transactions!$B$6:$B$505,"&lt;="&amp;EOMONTH(DATE(Setup!$D$5,11,1),0))</f>
        <v>0</v>
      </c>
      <c r="N14" s="28" t="n">
        <f aca="false">SUMIFS(Transactions!$F$6:$F$505,Transactions!$E$6:$E$505,$B14,Transactions!$D$6:$D$505,"Expense",Transactions!$B$6:$B$505,"&gt;="&amp;DATE(Setup!$D$5,12,1),Transactions!$B$6:$B$505,"&lt;="&amp;EOMONTH(DATE(Setup!$D$5,12,1),0))</f>
        <v>0</v>
      </c>
      <c r="O14" s="29" t="n">
        <f aca="false">SUM(C14:N14)</f>
        <v>1100</v>
      </c>
    </row>
    <row r="15" customFormat="false" ht="15" hidden="false" customHeight="false" outlineLevel="0" collapsed="false">
      <c r="B15" s="18" t="str">
        <f aca="false">Setup!D9</f>
        <v>Utilities</v>
      </c>
      <c r="C15" s="28" t="n">
        <f aca="false">SUMIFS(Transactions!$F$6:$F$505,Transactions!$E$6:$E$505,$B15,Transactions!$D$6:$D$505,"Expense",Transactions!$B$6:$B$505,"&gt;="&amp;DATE(Setup!$D$5,1,1),Transactions!$B$6:$B$505,"&lt;="&amp;EOMONTH(DATE(Setup!$D$5,1,1),0))</f>
        <v>0</v>
      </c>
      <c r="D15" s="28" t="n">
        <f aca="false">SUMIFS(Transactions!$F$6:$F$505,Transactions!$E$6:$E$505,$B15,Transactions!$D$6:$D$505,"Expense",Transactions!$B$6:$B$505,"&gt;="&amp;DATE(Setup!$D$5,2,1),Transactions!$B$6:$B$505,"&lt;="&amp;EOMONTH(DATE(Setup!$D$5,2,1),0))</f>
        <v>0</v>
      </c>
      <c r="E15" s="28" t="n">
        <f aca="false">SUMIFS(Transactions!$F$6:$F$505,Transactions!$E$6:$E$505,$B15,Transactions!$D$6:$D$505,"Expense",Transactions!$B$6:$B$505,"&gt;="&amp;DATE(Setup!$D$5,3,1),Transactions!$B$6:$B$505,"&lt;="&amp;EOMONTH(DATE(Setup!$D$5,3,1),0))</f>
        <v>0</v>
      </c>
      <c r="F15" s="28" t="n">
        <f aca="false">SUMIFS(Transactions!$F$6:$F$505,Transactions!$E$6:$E$505,$B15,Transactions!$D$6:$D$505,"Expense",Transactions!$B$6:$B$505,"&gt;="&amp;DATE(Setup!$D$5,4,1),Transactions!$B$6:$B$505,"&lt;="&amp;EOMONTH(DATE(Setup!$D$5,4,1),0))</f>
        <v>0</v>
      </c>
      <c r="G15" s="28" t="n">
        <f aca="false">SUMIFS(Transactions!$F$6:$F$505,Transactions!$E$6:$E$505,$B15,Transactions!$D$6:$D$505,"Expense",Transactions!$B$6:$B$505,"&gt;="&amp;DATE(Setup!$D$5,5,1),Transactions!$B$6:$B$505,"&lt;="&amp;EOMONTH(DATE(Setup!$D$5,5,1),0))</f>
        <v>0</v>
      </c>
      <c r="H15" s="28" t="n">
        <f aca="false">SUMIFS(Transactions!$F$6:$F$505,Transactions!$E$6:$E$505,$B15,Transactions!$D$6:$D$505,"Expense",Transactions!$B$6:$B$505,"&gt;="&amp;DATE(Setup!$D$5,6,1),Transactions!$B$6:$B$505,"&lt;="&amp;EOMONTH(DATE(Setup!$D$5,6,1),0))</f>
        <v>0</v>
      </c>
      <c r="I15" s="28" t="n">
        <f aca="false">SUMIFS(Transactions!$F$6:$F$505,Transactions!$E$6:$E$505,$B15,Transactions!$D$6:$D$505,"Expense",Transactions!$B$6:$B$505,"&gt;="&amp;DATE(Setup!$D$5,7,1),Transactions!$B$6:$B$505,"&lt;="&amp;EOMONTH(DATE(Setup!$D$5,7,1),0))</f>
        <v>0</v>
      </c>
      <c r="J15" s="28" t="n">
        <f aca="false">SUMIFS(Transactions!$F$6:$F$505,Transactions!$E$6:$E$505,$B15,Transactions!$D$6:$D$505,"Expense",Transactions!$B$6:$B$505,"&gt;="&amp;DATE(Setup!$D$5,8,1),Transactions!$B$6:$B$505,"&lt;="&amp;EOMONTH(DATE(Setup!$D$5,8,1),0))</f>
        <v>0</v>
      </c>
      <c r="K15" s="28" t="n">
        <f aca="false">SUMIFS(Transactions!$F$6:$F$505,Transactions!$E$6:$E$505,$B15,Transactions!$D$6:$D$505,"Expense",Transactions!$B$6:$B$505,"&gt;="&amp;DATE(Setup!$D$5,9,1),Transactions!$B$6:$B$505,"&lt;="&amp;EOMONTH(DATE(Setup!$D$5,9,1),0))</f>
        <v>0</v>
      </c>
      <c r="L15" s="28" t="n">
        <f aca="false">SUMIFS(Transactions!$F$6:$F$505,Transactions!$E$6:$E$505,$B15,Transactions!$D$6:$D$505,"Expense",Transactions!$B$6:$B$505,"&gt;="&amp;DATE(Setup!$D$5,10,1),Transactions!$B$6:$B$505,"&lt;="&amp;EOMONTH(DATE(Setup!$D$5,10,1),0))</f>
        <v>0</v>
      </c>
      <c r="M15" s="28" t="n">
        <f aca="false">SUMIFS(Transactions!$F$6:$F$505,Transactions!$E$6:$E$505,$B15,Transactions!$D$6:$D$505,"Expense",Transactions!$B$6:$B$505,"&gt;="&amp;DATE(Setup!$D$5,11,1),Transactions!$B$6:$B$505,"&lt;="&amp;EOMONTH(DATE(Setup!$D$5,11,1),0))</f>
        <v>0</v>
      </c>
      <c r="N15" s="28" t="n">
        <f aca="false">SUMIFS(Transactions!$F$6:$F$505,Transactions!$E$6:$E$505,$B15,Transactions!$D$6:$D$505,"Expense",Transactions!$B$6:$B$505,"&gt;="&amp;DATE(Setup!$D$5,12,1),Transactions!$B$6:$B$505,"&lt;="&amp;EOMONTH(DATE(Setup!$D$5,12,1),0))</f>
        <v>0</v>
      </c>
      <c r="O15" s="29" t="n">
        <f aca="false">SUM(C15:N15)</f>
        <v>0</v>
      </c>
    </row>
    <row r="16" customFormat="false" ht="15" hidden="false" customHeight="false" outlineLevel="0" collapsed="false">
      <c r="B16" s="18" t="str">
        <f aca="false">Setup!D10</f>
        <v>Groceries</v>
      </c>
      <c r="C16" s="28" t="n">
        <f aca="false">SUMIFS(Transactions!$F$6:$F$505,Transactions!$E$6:$E$505,$B16,Transactions!$D$6:$D$505,"Expense",Transactions!$B$6:$B$505,"&gt;="&amp;DATE(Setup!$D$5,1,1),Transactions!$B$6:$B$505,"&lt;="&amp;EOMONTH(DATE(Setup!$D$5,1,1),0))</f>
        <v>86.4</v>
      </c>
      <c r="D16" s="28" t="n">
        <f aca="false">SUMIFS(Transactions!$F$6:$F$505,Transactions!$E$6:$E$505,$B16,Transactions!$D$6:$D$505,"Expense",Transactions!$B$6:$B$505,"&gt;="&amp;DATE(Setup!$D$5,2,1),Transactions!$B$6:$B$505,"&lt;="&amp;EOMONTH(DATE(Setup!$D$5,2,1),0))</f>
        <v>0</v>
      </c>
      <c r="E16" s="28" t="n">
        <f aca="false">SUMIFS(Transactions!$F$6:$F$505,Transactions!$E$6:$E$505,$B16,Transactions!$D$6:$D$505,"Expense",Transactions!$B$6:$B$505,"&gt;="&amp;DATE(Setup!$D$5,3,1),Transactions!$B$6:$B$505,"&lt;="&amp;EOMONTH(DATE(Setup!$D$5,3,1),0))</f>
        <v>0</v>
      </c>
      <c r="F16" s="28" t="n">
        <f aca="false">SUMIFS(Transactions!$F$6:$F$505,Transactions!$E$6:$E$505,$B16,Transactions!$D$6:$D$505,"Expense",Transactions!$B$6:$B$505,"&gt;="&amp;DATE(Setup!$D$5,4,1),Transactions!$B$6:$B$505,"&lt;="&amp;EOMONTH(DATE(Setup!$D$5,4,1),0))</f>
        <v>0</v>
      </c>
      <c r="G16" s="28" t="n">
        <f aca="false">SUMIFS(Transactions!$F$6:$F$505,Transactions!$E$6:$E$505,$B16,Transactions!$D$6:$D$505,"Expense",Transactions!$B$6:$B$505,"&gt;="&amp;DATE(Setup!$D$5,5,1),Transactions!$B$6:$B$505,"&lt;="&amp;EOMONTH(DATE(Setup!$D$5,5,1),0))</f>
        <v>0</v>
      </c>
      <c r="H16" s="28" t="n">
        <f aca="false">SUMIFS(Transactions!$F$6:$F$505,Transactions!$E$6:$E$505,$B16,Transactions!$D$6:$D$505,"Expense",Transactions!$B$6:$B$505,"&gt;="&amp;DATE(Setup!$D$5,6,1),Transactions!$B$6:$B$505,"&lt;="&amp;EOMONTH(DATE(Setup!$D$5,6,1),0))</f>
        <v>0</v>
      </c>
      <c r="I16" s="28" t="n">
        <f aca="false">SUMIFS(Transactions!$F$6:$F$505,Transactions!$E$6:$E$505,$B16,Transactions!$D$6:$D$505,"Expense",Transactions!$B$6:$B$505,"&gt;="&amp;DATE(Setup!$D$5,7,1),Transactions!$B$6:$B$505,"&lt;="&amp;EOMONTH(DATE(Setup!$D$5,7,1),0))</f>
        <v>0</v>
      </c>
      <c r="J16" s="28" t="n">
        <f aca="false">SUMIFS(Transactions!$F$6:$F$505,Transactions!$E$6:$E$505,$B16,Transactions!$D$6:$D$505,"Expense",Transactions!$B$6:$B$505,"&gt;="&amp;DATE(Setup!$D$5,8,1),Transactions!$B$6:$B$505,"&lt;="&amp;EOMONTH(DATE(Setup!$D$5,8,1),0))</f>
        <v>0</v>
      </c>
      <c r="K16" s="28" t="n">
        <f aca="false">SUMIFS(Transactions!$F$6:$F$505,Transactions!$E$6:$E$505,$B16,Transactions!$D$6:$D$505,"Expense",Transactions!$B$6:$B$505,"&gt;="&amp;DATE(Setup!$D$5,9,1),Transactions!$B$6:$B$505,"&lt;="&amp;EOMONTH(DATE(Setup!$D$5,9,1),0))</f>
        <v>0</v>
      </c>
      <c r="L16" s="28" t="n">
        <f aca="false">SUMIFS(Transactions!$F$6:$F$505,Transactions!$E$6:$E$505,$B16,Transactions!$D$6:$D$505,"Expense",Transactions!$B$6:$B$505,"&gt;="&amp;DATE(Setup!$D$5,10,1),Transactions!$B$6:$B$505,"&lt;="&amp;EOMONTH(DATE(Setup!$D$5,10,1),0))</f>
        <v>0</v>
      </c>
      <c r="M16" s="28" t="n">
        <f aca="false">SUMIFS(Transactions!$F$6:$F$505,Transactions!$E$6:$E$505,$B16,Transactions!$D$6:$D$505,"Expense",Transactions!$B$6:$B$505,"&gt;="&amp;DATE(Setup!$D$5,11,1),Transactions!$B$6:$B$505,"&lt;="&amp;EOMONTH(DATE(Setup!$D$5,11,1),0))</f>
        <v>0</v>
      </c>
      <c r="N16" s="28" t="n">
        <f aca="false">SUMIFS(Transactions!$F$6:$F$505,Transactions!$E$6:$E$505,$B16,Transactions!$D$6:$D$505,"Expense",Transactions!$B$6:$B$505,"&gt;="&amp;DATE(Setup!$D$5,12,1),Transactions!$B$6:$B$505,"&lt;="&amp;EOMONTH(DATE(Setup!$D$5,12,1),0))</f>
        <v>0</v>
      </c>
      <c r="O16" s="29" t="n">
        <f aca="false">SUM(C16:N16)</f>
        <v>86.4</v>
      </c>
    </row>
    <row r="17" customFormat="false" ht="15" hidden="false" customHeight="false" outlineLevel="0" collapsed="false">
      <c r="B17" s="18" t="str">
        <f aca="false">Setup!D11</f>
        <v>Eating out</v>
      </c>
      <c r="C17" s="28" t="n">
        <f aca="false">SUMIFS(Transactions!$F$6:$F$505,Transactions!$E$6:$E$505,$B17,Transactions!$D$6:$D$505,"Expense",Transactions!$B$6:$B$505,"&gt;="&amp;DATE(Setup!$D$5,1,1),Transactions!$B$6:$B$505,"&lt;="&amp;EOMONTH(DATE(Setup!$D$5,1,1),0))</f>
        <v>32.5</v>
      </c>
      <c r="D17" s="28" t="n">
        <f aca="false">SUMIFS(Transactions!$F$6:$F$505,Transactions!$E$6:$E$505,$B17,Transactions!$D$6:$D$505,"Expense",Transactions!$B$6:$B$505,"&gt;="&amp;DATE(Setup!$D$5,2,1),Transactions!$B$6:$B$505,"&lt;="&amp;EOMONTH(DATE(Setup!$D$5,2,1),0))</f>
        <v>0</v>
      </c>
      <c r="E17" s="28" t="n">
        <f aca="false">SUMIFS(Transactions!$F$6:$F$505,Transactions!$E$6:$E$505,$B17,Transactions!$D$6:$D$505,"Expense",Transactions!$B$6:$B$505,"&gt;="&amp;DATE(Setup!$D$5,3,1),Transactions!$B$6:$B$505,"&lt;="&amp;EOMONTH(DATE(Setup!$D$5,3,1),0))</f>
        <v>0</v>
      </c>
      <c r="F17" s="28" t="n">
        <f aca="false">SUMIFS(Transactions!$F$6:$F$505,Transactions!$E$6:$E$505,$B17,Transactions!$D$6:$D$505,"Expense",Transactions!$B$6:$B$505,"&gt;="&amp;DATE(Setup!$D$5,4,1),Transactions!$B$6:$B$505,"&lt;="&amp;EOMONTH(DATE(Setup!$D$5,4,1),0))</f>
        <v>0</v>
      </c>
      <c r="G17" s="28" t="n">
        <f aca="false">SUMIFS(Transactions!$F$6:$F$505,Transactions!$E$6:$E$505,$B17,Transactions!$D$6:$D$505,"Expense",Transactions!$B$6:$B$505,"&gt;="&amp;DATE(Setup!$D$5,5,1),Transactions!$B$6:$B$505,"&lt;="&amp;EOMONTH(DATE(Setup!$D$5,5,1),0))</f>
        <v>0</v>
      </c>
      <c r="H17" s="28" t="n">
        <f aca="false">SUMIFS(Transactions!$F$6:$F$505,Transactions!$E$6:$E$505,$B17,Transactions!$D$6:$D$505,"Expense",Transactions!$B$6:$B$505,"&gt;="&amp;DATE(Setup!$D$5,6,1),Transactions!$B$6:$B$505,"&lt;="&amp;EOMONTH(DATE(Setup!$D$5,6,1),0))</f>
        <v>0</v>
      </c>
      <c r="I17" s="28" t="n">
        <f aca="false">SUMIFS(Transactions!$F$6:$F$505,Transactions!$E$6:$E$505,$B17,Transactions!$D$6:$D$505,"Expense",Transactions!$B$6:$B$505,"&gt;="&amp;DATE(Setup!$D$5,7,1),Transactions!$B$6:$B$505,"&lt;="&amp;EOMONTH(DATE(Setup!$D$5,7,1),0))</f>
        <v>0</v>
      </c>
      <c r="J17" s="28" t="n">
        <f aca="false">SUMIFS(Transactions!$F$6:$F$505,Transactions!$E$6:$E$505,$B17,Transactions!$D$6:$D$505,"Expense",Transactions!$B$6:$B$505,"&gt;="&amp;DATE(Setup!$D$5,8,1),Transactions!$B$6:$B$505,"&lt;="&amp;EOMONTH(DATE(Setup!$D$5,8,1),0))</f>
        <v>0</v>
      </c>
      <c r="K17" s="28" t="n">
        <f aca="false">SUMIFS(Transactions!$F$6:$F$505,Transactions!$E$6:$E$505,$B17,Transactions!$D$6:$D$505,"Expense",Transactions!$B$6:$B$505,"&gt;="&amp;DATE(Setup!$D$5,9,1),Transactions!$B$6:$B$505,"&lt;="&amp;EOMONTH(DATE(Setup!$D$5,9,1),0))</f>
        <v>0</v>
      </c>
      <c r="L17" s="28" t="n">
        <f aca="false">SUMIFS(Transactions!$F$6:$F$505,Transactions!$E$6:$E$505,$B17,Transactions!$D$6:$D$505,"Expense",Transactions!$B$6:$B$505,"&gt;="&amp;DATE(Setup!$D$5,10,1),Transactions!$B$6:$B$505,"&lt;="&amp;EOMONTH(DATE(Setup!$D$5,10,1),0))</f>
        <v>0</v>
      </c>
      <c r="M17" s="28" t="n">
        <f aca="false">SUMIFS(Transactions!$F$6:$F$505,Transactions!$E$6:$E$505,$B17,Transactions!$D$6:$D$505,"Expense",Transactions!$B$6:$B$505,"&gt;="&amp;DATE(Setup!$D$5,11,1),Transactions!$B$6:$B$505,"&lt;="&amp;EOMONTH(DATE(Setup!$D$5,11,1),0))</f>
        <v>0</v>
      </c>
      <c r="N17" s="28" t="n">
        <f aca="false">SUMIFS(Transactions!$F$6:$F$505,Transactions!$E$6:$E$505,$B17,Transactions!$D$6:$D$505,"Expense",Transactions!$B$6:$B$505,"&gt;="&amp;DATE(Setup!$D$5,12,1),Transactions!$B$6:$B$505,"&lt;="&amp;EOMONTH(DATE(Setup!$D$5,12,1),0))</f>
        <v>0</v>
      </c>
      <c r="O17" s="29" t="n">
        <f aca="false">SUM(C17:N17)</f>
        <v>32.5</v>
      </c>
    </row>
    <row r="18" customFormat="false" ht="15" hidden="false" customHeight="false" outlineLevel="0" collapsed="false">
      <c r="B18" s="18" t="str">
        <f aca="false">Setup!D12</f>
        <v>Transport</v>
      </c>
      <c r="C18" s="28" t="n">
        <f aca="false">SUMIFS(Transactions!$F$6:$F$505,Transactions!$E$6:$E$505,$B18,Transactions!$D$6:$D$505,"Expense",Transactions!$B$6:$B$505,"&gt;="&amp;DATE(Setup!$D$5,1,1),Transactions!$B$6:$B$505,"&lt;="&amp;EOMONTH(DATE(Setup!$D$5,1,1),0))</f>
        <v>0</v>
      </c>
      <c r="D18" s="28" t="n">
        <f aca="false">SUMIFS(Transactions!$F$6:$F$505,Transactions!$E$6:$E$505,$B18,Transactions!$D$6:$D$505,"Expense",Transactions!$B$6:$B$505,"&gt;="&amp;DATE(Setup!$D$5,2,1),Transactions!$B$6:$B$505,"&lt;="&amp;EOMONTH(DATE(Setup!$D$5,2,1),0))</f>
        <v>0</v>
      </c>
      <c r="E18" s="28" t="n">
        <f aca="false">SUMIFS(Transactions!$F$6:$F$505,Transactions!$E$6:$E$505,$B18,Transactions!$D$6:$D$505,"Expense",Transactions!$B$6:$B$505,"&gt;="&amp;DATE(Setup!$D$5,3,1),Transactions!$B$6:$B$505,"&lt;="&amp;EOMONTH(DATE(Setup!$D$5,3,1),0))</f>
        <v>0</v>
      </c>
      <c r="F18" s="28" t="n">
        <f aca="false">SUMIFS(Transactions!$F$6:$F$505,Transactions!$E$6:$E$505,$B18,Transactions!$D$6:$D$505,"Expense",Transactions!$B$6:$B$505,"&gt;="&amp;DATE(Setup!$D$5,4,1),Transactions!$B$6:$B$505,"&lt;="&amp;EOMONTH(DATE(Setup!$D$5,4,1),0))</f>
        <v>0</v>
      </c>
      <c r="G18" s="28" t="n">
        <f aca="false">SUMIFS(Transactions!$F$6:$F$505,Transactions!$E$6:$E$505,$B18,Transactions!$D$6:$D$505,"Expense",Transactions!$B$6:$B$505,"&gt;="&amp;DATE(Setup!$D$5,5,1),Transactions!$B$6:$B$505,"&lt;="&amp;EOMONTH(DATE(Setup!$D$5,5,1),0))</f>
        <v>0</v>
      </c>
      <c r="H18" s="28" t="n">
        <f aca="false">SUMIFS(Transactions!$F$6:$F$505,Transactions!$E$6:$E$505,$B18,Transactions!$D$6:$D$505,"Expense",Transactions!$B$6:$B$505,"&gt;="&amp;DATE(Setup!$D$5,6,1),Transactions!$B$6:$B$505,"&lt;="&amp;EOMONTH(DATE(Setup!$D$5,6,1),0))</f>
        <v>0</v>
      </c>
      <c r="I18" s="28" t="n">
        <f aca="false">SUMIFS(Transactions!$F$6:$F$505,Transactions!$E$6:$E$505,$B18,Transactions!$D$6:$D$505,"Expense",Transactions!$B$6:$B$505,"&gt;="&amp;DATE(Setup!$D$5,7,1),Transactions!$B$6:$B$505,"&lt;="&amp;EOMONTH(DATE(Setup!$D$5,7,1),0))</f>
        <v>0</v>
      </c>
      <c r="J18" s="28" t="n">
        <f aca="false">SUMIFS(Transactions!$F$6:$F$505,Transactions!$E$6:$E$505,$B18,Transactions!$D$6:$D$505,"Expense",Transactions!$B$6:$B$505,"&gt;="&amp;DATE(Setup!$D$5,8,1),Transactions!$B$6:$B$505,"&lt;="&amp;EOMONTH(DATE(Setup!$D$5,8,1),0))</f>
        <v>0</v>
      </c>
      <c r="K18" s="28" t="n">
        <f aca="false">SUMIFS(Transactions!$F$6:$F$505,Transactions!$E$6:$E$505,$B18,Transactions!$D$6:$D$505,"Expense",Transactions!$B$6:$B$505,"&gt;="&amp;DATE(Setup!$D$5,9,1),Transactions!$B$6:$B$505,"&lt;="&amp;EOMONTH(DATE(Setup!$D$5,9,1),0))</f>
        <v>0</v>
      </c>
      <c r="L18" s="28" t="n">
        <f aca="false">SUMIFS(Transactions!$F$6:$F$505,Transactions!$E$6:$E$505,$B18,Transactions!$D$6:$D$505,"Expense",Transactions!$B$6:$B$505,"&gt;="&amp;DATE(Setup!$D$5,10,1),Transactions!$B$6:$B$505,"&lt;="&amp;EOMONTH(DATE(Setup!$D$5,10,1),0))</f>
        <v>0</v>
      </c>
      <c r="M18" s="28" t="n">
        <f aca="false">SUMIFS(Transactions!$F$6:$F$505,Transactions!$E$6:$E$505,$B18,Transactions!$D$6:$D$505,"Expense",Transactions!$B$6:$B$505,"&gt;="&amp;DATE(Setup!$D$5,11,1),Transactions!$B$6:$B$505,"&lt;="&amp;EOMONTH(DATE(Setup!$D$5,11,1),0))</f>
        <v>0</v>
      </c>
      <c r="N18" s="28" t="n">
        <f aca="false">SUMIFS(Transactions!$F$6:$F$505,Transactions!$E$6:$E$505,$B18,Transactions!$D$6:$D$505,"Expense",Transactions!$B$6:$B$505,"&gt;="&amp;DATE(Setup!$D$5,12,1),Transactions!$B$6:$B$505,"&lt;="&amp;EOMONTH(DATE(Setup!$D$5,12,1),0))</f>
        <v>0</v>
      </c>
      <c r="O18" s="29" t="n">
        <f aca="false">SUM(C18:N18)</f>
        <v>0</v>
      </c>
    </row>
    <row r="19" customFormat="false" ht="15" hidden="false" customHeight="false" outlineLevel="0" collapsed="false">
      <c r="B19" s="18" t="str">
        <f aca="false">Setup!D13</f>
        <v>Insurance</v>
      </c>
      <c r="C19" s="28" t="n">
        <f aca="false">SUMIFS(Transactions!$F$6:$F$505,Transactions!$E$6:$E$505,$B19,Transactions!$D$6:$D$505,"Expense",Transactions!$B$6:$B$505,"&gt;="&amp;DATE(Setup!$D$5,1,1),Transactions!$B$6:$B$505,"&lt;="&amp;EOMONTH(DATE(Setup!$D$5,1,1),0))</f>
        <v>0</v>
      </c>
      <c r="D19" s="28" t="n">
        <f aca="false">SUMIFS(Transactions!$F$6:$F$505,Transactions!$E$6:$E$505,$B19,Transactions!$D$6:$D$505,"Expense",Transactions!$B$6:$B$505,"&gt;="&amp;DATE(Setup!$D$5,2,1),Transactions!$B$6:$B$505,"&lt;="&amp;EOMONTH(DATE(Setup!$D$5,2,1),0))</f>
        <v>0</v>
      </c>
      <c r="E19" s="28" t="n">
        <f aca="false">SUMIFS(Transactions!$F$6:$F$505,Transactions!$E$6:$E$505,$B19,Transactions!$D$6:$D$505,"Expense",Transactions!$B$6:$B$505,"&gt;="&amp;DATE(Setup!$D$5,3,1),Transactions!$B$6:$B$505,"&lt;="&amp;EOMONTH(DATE(Setup!$D$5,3,1),0))</f>
        <v>0</v>
      </c>
      <c r="F19" s="28" t="n">
        <f aca="false">SUMIFS(Transactions!$F$6:$F$505,Transactions!$E$6:$E$505,$B19,Transactions!$D$6:$D$505,"Expense",Transactions!$B$6:$B$505,"&gt;="&amp;DATE(Setup!$D$5,4,1),Transactions!$B$6:$B$505,"&lt;="&amp;EOMONTH(DATE(Setup!$D$5,4,1),0))</f>
        <v>0</v>
      </c>
      <c r="G19" s="28" t="n">
        <f aca="false">SUMIFS(Transactions!$F$6:$F$505,Transactions!$E$6:$E$505,$B19,Transactions!$D$6:$D$505,"Expense",Transactions!$B$6:$B$505,"&gt;="&amp;DATE(Setup!$D$5,5,1),Transactions!$B$6:$B$505,"&lt;="&amp;EOMONTH(DATE(Setup!$D$5,5,1),0))</f>
        <v>0</v>
      </c>
      <c r="H19" s="28" t="n">
        <f aca="false">SUMIFS(Transactions!$F$6:$F$505,Transactions!$E$6:$E$505,$B19,Transactions!$D$6:$D$505,"Expense",Transactions!$B$6:$B$505,"&gt;="&amp;DATE(Setup!$D$5,6,1),Transactions!$B$6:$B$505,"&lt;="&amp;EOMONTH(DATE(Setup!$D$5,6,1),0))</f>
        <v>0</v>
      </c>
      <c r="I19" s="28" t="n">
        <f aca="false">SUMIFS(Transactions!$F$6:$F$505,Transactions!$E$6:$E$505,$B19,Transactions!$D$6:$D$505,"Expense",Transactions!$B$6:$B$505,"&gt;="&amp;DATE(Setup!$D$5,7,1),Transactions!$B$6:$B$505,"&lt;="&amp;EOMONTH(DATE(Setup!$D$5,7,1),0))</f>
        <v>0</v>
      </c>
      <c r="J19" s="28" t="n">
        <f aca="false">SUMIFS(Transactions!$F$6:$F$505,Transactions!$E$6:$E$505,$B19,Transactions!$D$6:$D$505,"Expense",Transactions!$B$6:$B$505,"&gt;="&amp;DATE(Setup!$D$5,8,1),Transactions!$B$6:$B$505,"&lt;="&amp;EOMONTH(DATE(Setup!$D$5,8,1),0))</f>
        <v>0</v>
      </c>
      <c r="K19" s="28" t="n">
        <f aca="false">SUMIFS(Transactions!$F$6:$F$505,Transactions!$E$6:$E$505,$B19,Transactions!$D$6:$D$505,"Expense",Transactions!$B$6:$B$505,"&gt;="&amp;DATE(Setup!$D$5,9,1),Transactions!$B$6:$B$505,"&lt;="&amp;EOMONTH(DATE(Setup!$D$5,9,1),0))</f>
        <v>0</v>
      </c>
      <c r="L19" s="28" t="n">
        <f aca="false">SUMIFS(Transactions!$F$6:$F$505,Transactions!$E$6:$E$505,$B19,Transactions!$D$6:$D$505,"Expense",Transactions!$B$6:$B$505,"&gt;="&amp;DATE(Setup!$D$5,10,1),Transactions!$B$6:$B$505,"&lt;="&amp;EOMONTH(DATE(Setup!$D$5,10,1),0))</f>
        <v>0</v>
      </c>
      <c r="M19" s="28" t="n">
        <f aca="false">SUMIFS(Transactions!$F$6:$F$505,Transactions!$E$6:$E$505,$B19,Transactions!$D$6:$D$505,"Expense",Transactions!$B$6:$B$505,"&gt;="&amp;DATE(Setup!$D$5,11,1),Transactions!$B$6:$B$505,"&lt;="&amp;EOMONTH(DATE(Setup!$D$5,11,1),0))</f>
        <v>0</v>
      </c>
      <c r="N19" s="28" t="n">
        <f aca="false">SUMIFS(Transactions!$F$6:$F$505,Transactions!$E$6:$E$505,$B19,Transactions!$D$6:$D$505,"Expense",Transactions!$B$6:$B$505,"&gt;="&amp;DATE(Setup!$D$5,12,1),Transactions!$B$6:$B$505,"&lt;="&amp;EOMONTH(DATE(Setup!$D$5,12,1),0))</f>
        <v>0</v>
      </c>
      <c r="O19" s="29" t="n">
        <f aca="false">SUM(C19:N19)</f>
        <v>0</v>
      </c>
    </row>
    <row r="20" customFormat="false" ht="15" hidden="false" customHeight="false" outlineLevel="0" collapsed="false">
      <c r="B20" s="18" t="str">
        <f aca="false">Setup!D14</f>
        <v>Phone &amp; Internet</v>
      </c>
      <c r="C20" s="28" t="n">
        <f aca="false">SUMIFS(Transactions!$F$6:$F$505,Transactions!$E$6:$E$505,$B20,Transactions!$D$6:$D$505,"Expense",Transactions!$B$6:$B$505,"&gt;="&amp;DATE(Setup!$D$5,1,1),Transactions!$B$6:$B$505,"&lt;="&amp;EOMONTH(DATE(Setup!$D$5,1,1),0))</f>
        <v>0</v>
      </c>
      <c r="D20" s="28" t="n">
        <f aca="false">SUMIFS(Transactions!$F$6:$F$505,Transactions!$E$6:$E$505,$B20,Transactions!$D$6:$D$505,"Expense",Transactions!$B$6:$B$505,"&gt;="&amp;DATE(Setup!$D$5,2,1),Transactions!$B$6:$B$505,"&lt;="&amp;EOMONTH(DATE(Setup!$D$5,2,1),0))</f>
        <v>0</v>
      </c>
      <c r="E20" s="28" t="n">
        <f aca="false">SUMIFS(Transactions!$F$6:$F$505,Transactions!$E$6:$E$505,$B20,Transactions!$D$6:$D$505,"Expense",Transactions!$B$6:$B$505,"&gt;="&amp;DATE(Setup!$D$5,3,1),Transactions!$B$6:$B$505,"&lt;="&amp;EOMONTH(DATE(Setup!$D$5,3,1),0))</f>
        <v>0</v>
      </c>
      <c r="F20" s="28" t="n">
        <f aca="false">SUMIFS(Transactions!$F$6:$F$505,Transactions!$E$6:$E$505,$B20,Transactions!$D$6:$D$505,"Expense",Transactions!$B$6:$B$505,"&gt;="&amp;DATE(Setup!$D$5,4,1),Transactions!$B$6:$B$505,"&lt;="&amp;EOMONTH(DATE(Setup!$D$5,4,1),0))</f>
        <v>0</v>
      </c>
      <c r="G20" s="28" t="n">
        <f aca="false">SUMIFS(Transactions!$F$6:$F$505,Transactions!$E$6:$E$505,$B20,Transactions!$D$6:$D$505,"Expense",Transactions!$B$6:$B$505,"&gt;="&amp;DATE(Setup!$D$5,5,1),Transactions!$B$6:$B$505,"&lt;="&amp;EOMONTH(DATE(Setup!$D$5,5,1),0))</f>
        <v>0</v>
      </c>
      <c r="H20" s="28" t="n">
        <f aca="false">SUMIFS(Transactions!$F$6:$F$505,Transactions!$E$6:$E$505,$B20,Transactions!$D$6:$D$505,"Expense",Transactions!$B$6:$B$505,"&gt;="&amp;DATE(Setup!$D$5,6,1),Transactions!$B$6:$B$505,"&lt;="&amp;EOMONTH(DATE(Setup!$D$5,6,1),0))</f>
        <v>0</v>
      </c>
      <c r="I20" s="28" t="n">
        <f aca="false">SUMIFS(Transactions!$F$6:$F$505,Transactions!$E$6:$E$505,$B20,Transactions!$D$6:$D$505,"Expense",Transactions!$B$6:$B$505,"&gt;="&amp;DATE(Setup!$D$5,7,1),Transactions!$B$6:$B$505,"&lt;="&amp;EOMONTH(DATE(Setup!$D$5,7,1),0))</f>
        <v>0</v>
      </c>
      <c r="J20" s="28" t="n">
        <f aca="false">SUMIFS(Transactions!$F$6:$F$505,Transactions!$E$6:$E$505,$B20,Transactions!$D$6:$D$505,"Expense",Transactions!$B$6:$B$505,"&gt;="&amp;DATE(Setup!$D$5,8,1),Transactions!$B$6:$B$505,"&lt;="&amp;EOMONTH(DATE(Setup!$D$5,8,1),0))</f>
        <v>0</v>
      </c>
      <c r="K20" s="28" t="n">
        <f aca="false">SUMIFS(Transactions!$F$6:$F$505,Transactions!$E$6:$E$505,$B20,Transactions!$D$6:$D$505,"Expense",Transactions!$B$6:$B$505,"&gt;="&amp;DATE(Setup!$D$5,9,1),Transactions!$B$6:$B$505,"&lt;="&amp;EOMONTH(DATE(Setup!$D$5,9,1),0))</f>
        <v>0</v>
      </c>
      <c r="L20" s="28" t="n">
        <f aca="false">SUMIFS(Transactions!$F$6:$F$505,Transactions!$E$6:$E$505,$B20,Transactions!$D$6:$D$505,"Expense",Transactions!$B$6:$B$505,"&gt;="&amp;DATE(Setup!$D$5,10,1),Transactions!$B$6:$B$505,"&lt;="&amp;EOMONTH(DATE(Setup!$D$5,10,1),0))</f>
        <v>0</v>
      </c>
      <c r="M20" s="28" t="n">
        <f aca="false">SUMIFS(Transactions!$F$6:$F$505,Transactions!$E$6:$E$505,$B20,Transactions!$D$6:$D$505,"Expense",Transactions!$B$6:$B$505,"&gt;="&amp;DATE(Setup!$D$5,11,1),Transactions!$B$6:$B$505,"&lt;="&amp;EOMONTH(DATE(Setup!$D$5,11,1),0))</f>
        <v>0</v>
      </c>
      <c r="N20" s="28" t="n">
        <f aca="false">SUMIFS(Transactions!$F$6:$F$505,Transactions!$E$6:$E$505,$B20,Transactions!$D$6:$D$505,"Expense",Transactions!$B$6:$B$505,"&gt;="&amp;DATE(Setup!$D$5,12,1),Transactions!$B$6:$B$505,"&lt;="&amp;EOMONTH(DATE(Setup!$D$5,12,1),0))</f>
        <v>0</v>
      </c>
      <c r="O20" s="29" t="n">
        <f aca="false">SUM(C20:N20)</f>
        <v>0</v>
      </c>
    </row>
    <row r="21" customFormat="false" ht="15" hidden="false" customHeight="false" outlineLevel="0" collapsed="false">
      <c r="B21" s="18" t="str">
        <f aca="false">Setup!D15</f>
        <v>Subscriptions</v>
      </c>
      <c r="C21" s="28" t="n">
        <f aca="false">SUMIFS(Transactions!$F$6:$F$505,Transactions!$E$6:$E$505,$B21,Transactions!$D$6:$D$505,"Expense",Transactions!$B$6:$B$505,"&gt;="&amp;DATE(Setup!$D$5,1,1),Transactions!$B$6:$B$505,"&lt;="&amp;EOMONTH(DATE(Setup!$D$5,1,1),0))</f>
        <v>0</v>
      </c>
      <c r="D21" s="28" t="n">
        <f aca="false">SUMIFS(Transactions!$F$6:$F$505,Transactions!$E$6:$E$505,$B21,Transactions!$D$6:$D$505,"Expense",Transactions!$B$6:$B$505,"&gt;="&amp;DATE(Setup!$D$5,2,1),Transactions!$B$6:$B$505,"&lt;="&amp;EOMONTH(DATE(Setup!$D$5,2,1),0))</f>
        <v>0</v>
      </c>
      <c r="E21" s="28" t="n">
        <f aca="false">SUMIFS(Transactions!$F$6:$F$505,Transactions!$E$6:$E$505,$B21,Transactions!$D$6:$D$505,"Expense",Transactions!$B$6:$B$505,"&gt;="&amp;DATE(Setup!$D$5,3,1),Transactions!$B$6:$B$505,"&lt;="&amp;EOMONTH(DATE(Setup!$D$5,3,1),0))</f>
        <v>0</v>
      </c>
      <c r="F21" s="28" t="n">
        <f aca="false">SUMIFS(Transactions!$F$6:$F$505,Transactions!$E$6:$E$505,$B21,Transactions!$D$6:$D$505,"Expense",Transactions!$B$6:$B$505,"&gt;="&amp;DATE(Setup!$D$5,4,1),Transactions!$B$6:$B$505,"&lt;="&amp;EOMONTH(DATE(Setup!$D$5,4,1),0))</f>
        <v>0</v>
      </c>
      <c r="G21" s="28" t="n">
        <f aca="false">SUMIFS(Transactions!$F$6:$F$505,Transactions!$E$6:$E$505,$B21,Transactions!$D$6:$D$505,"Expense",Transactions!$B$6:$B$505,"&gt;="&amp;DATE(Setup!$D$5,5,1),Transactions!$B$6:$B$505,"&lt;="&amp;EOMONTH(DATE(Setup!$D$5,5,1),0))</f>
        <v>0</v>
      </c>
      <c r="H21" s="28" t="n">
        <f aca="false">SUMIFS(Transactions!$F$6:$F$505,Transactions!$E$6:$E$505,$B21,Transactions!$D$6:$D$505,"Expense",Transactions!$B$6:$B$505,"&gt;="&amp;DATE(Setup!$D$5,6,1),Transactions!$B$6:$B$505,"&lt;="&amp;EOMONTH(DATE(Setup!$D$5,6,1),0))</f>
        <v>0</v>
      </c>
      <c r="I21" s="28" t="n">
        <f aca="false">SUMIFS(Transactions!$F$6:$F$505,Transactions!$E$6:$E$505,$B21,Transactions!$D$6:$D$505,"Expense",Transactions!$B$6:$B$505,"&gt;="&amp;DATE(Setup!$D$5,7,1),Transactions!$B$6:$B$505,"&lt;="&amp;EOMONTH(DATE(Setup!$D$5,7,1),0))</f>
        <v>0</v>
      </c>
      <c r="J21" s="28" t="n">
        <f aca="false">SUMIFS(Transactions!$F$6:$F$505,Transactions!$E$6:$E$505,$B21,Transactions!$D$6:$D$505,"Expense",Transactions!$B$6:$B$505,"&gt;="&amp;DATE(Setup!$D$5,8,1),Transactions!$B$6:$B$505,"&lt;="&amp;EOMONTH(DATE(Setup!$D$5,8,1),0))</f>
        <v>0</v>
      </c>
      <c r="K21" s="28" t="n">
        <f aca="false">SUMIFS(Transactions!$F$6:$F$505,Transactions!$E$6:$E$505,$B21,Transactions!$D$6:$D$505,"Expense",Transactions!$B$6:$B$505,"&gt;="&amp;DATE(Setup!$D$5,9,1),Transactions!$B$6:$B$505,"&lt;="&amp;EOMONTH(DATE(Setup!$D$5,9,1),0))</f>
        <v>0</v>
      </c>
      <c r="L21" s="28" t="n">
        <f aca="false">SUMIFS(Transactions!$F$6:$F$505,Transactions!$E$6:$E$505,$B21,Transactions!$D$6:$D$505,"Expense",Transactions!$B$6:$B$505,"&gt;="&amp;DATE(Setup!$D$5,10,1),Transactions!$B$6:$B$505,"&lt;="&amp;EOMONTH(DATE(Setup!$D$5,10,1),0))</f>
        <v>0</v>
      </c>
      <c r="M21" s="28" t="n">
        <f aca="false">SUMIFS(Transactions!$F$6:$F$505,Transactions!$E$6:$E$505,$B21,Transactions!$D$6:$D$505,"Expense",Transactions!$B$6:$B$505,"&gt;="&amp;DATE(Setup!$D$5,11,1),Transactions!$B$6:$B$505,"&lt;="&amp;EOMONTH(DATE(Setup!$D$5,11,1),0))</f>
        <v>0</v>
      </c>
      <c r="N21" s="28" t="n">
        <f aca="false">SUMIFS(Transactions!$F$6:$F$505,Transactions!$E$6:$E$505,$B21,Transactions!$D$6:$D$505,"Expense",Transactions!$B$6:$B$505,"&gt;="&amp;DATE(Setup!$D$5,12,1),Transactions!$B$6:$B$505,"&lt;="&amp;EOMONTH(DATE(Setup!$D$5,12,1),0))</f>
        <v>0</v>
      </c>
      <c r="O21" s="29" t="n">
        <f aca="false">SUM(C21:N21)</f>
        <v>0</v>
      </c>
    </row>
    <row r="22" customFormat="false" ht="15" hidden="false" customHeight="false" outlineLevel="0" collapsed="false">
      <c r="B22" s="18" t="str">
        <f aca="false">Setup!D16</f>
        <v>Health</v>
      </c>
      <c r="C22" s="28" t="n">
        <f aca="false">SUMIFS(Transactions!$F$6:$F$505,Transactions!$E$6:$E$505,$B22,Transactions!$D$6:$D$505,"Expense",Transactions!$B$6:$B$505,"&gt;="&amp;DATE(Setup!$D$5,1,1),Transactions!$B$6:$B$505,"&lt;="&amp;EOMONTH(DATE(Setup!$D$5,1,1),0))</f>
        <v>0</v>
      </c>
      <c r="D22" s="28" t="n">
        <f aca="false">SUMIFS(Transactions!$F$6:$F$505,Transactions!$E$6:$E$505,$B22,Transactions!$D$6:$D$505,"Expense",Transactions!$B$6:$B$505,"&gt;="&amp;DATE(Setup!$D$5,2,1),Transactions!$B$6:$B$505,"&lt;="&amp;EOMONTH(DATE(Setup!$D$5,2,1),0))</f>
        <v>0</v>
      </c>
      <c r="E22" s="28" t="n">
        <f aca="false">SUMIFS(Transactions!$F$6:$F$505,Transactions!$E$6:$E$505,$B22,Transactions!$D$6:$D$505,"Expense",Transactions!$B$6:$B$505,"&gt;="&amp;DATE(Setup!$D$5,3,1),Transactions!$B$6:$B$505,"&lt;="&amp;EOMONTH(DATE(Setup!$D$5,3,1),0))</f>
        <v>0</v>
      </c>
      <c r="F22" s="28" t="n">
        <f aca="false">SUMIFS(Transactions!$F$6:$F$505,Transactions!$E$6:$E$505,$B22,Transactions!$D$6:$D$505,"Expense",Transactions!$B$6:$B$505,"&gt;="&amp;DATE(Setup!$D$5,4,1),Transactions!$B$6:$B$505,"&lt;="&amp;EOMONTH(DATE(Setup!$D$5,4,1),0))</f>
        <v>0</v>
      </c>
      <c r="G22" s="28" t="n">
        <f aca="false">SUMIFS(Transactions!$F$6:$F$505,Transactions!$E$6:$E$505,$B22,Transactions!$D$6:$D$505,"Expense",Transactions!$B$6:$B$505,"&gt;="&amp;DATE(Setup!$D$5,5,1),Transactions!$B$6:$B$505,"&lt;="&amp;EOMONTH(DATE(Setup!$D$5,5,1),0))</f>
        <v>0</v>
      </c>
      <c r="H22" s="28" t="n">
        <f aca="false">SUMIFS(Transactions!$F$6:$F$505,Transactions!$E$6:$E$505,$B22,Transactions!$D$6:$D$505,"Expense",Transactions!$B$6:$B$505,"&gt;="&amp;DATE(Setup!$D$5,6,1),Transactions!$B$6:$B$505,"&lt;="&amp;EOMONTH(DATE(Setup!$D$5,6,1),0))</f>
        <v>0</v>
      </c>
      <c r="I22" s="28" t="n">
        <f aca="false">SUMIFS(Transactions!$F$6:$F$505,Transactions!$E$6:$E$505,$B22,Transactions!$D$6:$D$505,"Expense",Transactions!$B$6:$B$505,"&gt;="&amp;DATE(Setup!$D$5,7,1),Transactions!$B$6:$B$505,"&lt;="&amp;EOMONTH(DATE(Setup!$D$5,7,1),0))</f>
        <v>0</v>
      </c>
      <c r="J22" s="28" t="n">
        <f aca="false">SUMIFS(Transactions!$F$6:$F$505,Transactions!$E$6:$E$505,$B22,Transactions!$D$6:$D$505,"Expense",Transactions!$B$6:$B$505,"&gt;="&amp;DATE(Setup!$D$5,8,1),Transactions!$B$6:$B$505,"&lt;="&amp;EOMONTH(DATE(Setup!$D$5,8,1),0))</f>
        <v>0</v>
      </c>
      <c r="K22" s="28" t="n">
        <f aca="false">SUMIFS(Transactions!$F$6:$F$505,Transactions!$E$6:$E$505,$B22,Transactions!$D$6:$D$505,"Expense",Transactions!$B$6:$B$505,"&gt;="&amp;DATE(Setup!$D$5,9,1),Transactions!$B$6:$B$505,"&lt;="&amp;EOMONTH(DATE(Setup!$D$5,9,1),0))</f>
        <v>0</v>
      </c>
      <c r="L22" s="28" t="n">
        <f aca="false">SUMIFS(Transactions!$F$6:$F$505,Transactions!$E$6:$E$505,$B22,Transactions!$D$6:$D$505,"Expense",Transactions!$B$6:$B$505,"&gt;="&amp;DATE(Setup!$D$5,10,1),Transactions!$B$6:$B$505,"&lt;="&amp;EOMONTH(DATE(Setup!$D$5,10,1),0))</f>
        <v>0</v>
      </c>
      <c r="M22" s="28" t="n">
        <f aca="false">SUMIFS(Transactions!$F$6:$F$505,Transactions!$E$6:$E$505,$B22,Transactions!$D$6:$D$505,"Expense",Transactions!$B$6:$B$505,"&gt;="&amp;DATE(Setup!$D$5,11,1),Transactions!$B$6:$B$505,"&lt;="&amp;EOMONTH(DATE(Setup!$D$5,11,1),0))</f>
        <v>0</v>
      </c>
      <c r="N22" s="28" t="n">
        <f aca="false">SUMIFS(Transactions!$F$6:$F$505,Transactions!$E$6:$E$505,$B22,Transactions!$D$6:$D$505,"Expense",Transactions!$B$6:$B$505,"&gt;="&amp;DATE(Setup!$D$5,12,1),Transactions!$B$6:$B$505,"&lt;="&amp;EOMONTH(DATE(Setup!$D$5,12,1),0))</f>
        <v>0</v>
      </c>
      <c r="O22" s="29" t="n">
        <f aca="false">SUM(C22:N22)</f>
        <v>0</v>
      </c>
    </row>
    <row r="23" customFormat="false" ht="15" hidden="false" customHeight="false" outlineLevel="0" collapsed="false">
      <c r="B23" s="18" t="str">
        <f aca="false">Setup!D17</f>
        <v>Shopping</v>
      </c>
      <c r="C23" s="28" t="n">
        <f aca="false">SUMIFS(Transactions!$F$6:$F$505,Transactions!$E$6:$E$505,$B23,Transactions!$D$6:$D$505,"Expense",Transactions!$B$6:$B$505,"&gt;="&amp;DATE(Setup!$D$5,1,1),Transactions!$B$6:$B$505,"&lt;="&amp;EOMONTH(DATE(Setup!$D$5,1,1),0))</f>
        <v>0</v>
      </c>
      <c r="D23" s="28" t="n">
        <f aca="false">SUMIFS(Transactions!$F$6:$F$505,Transactions!$E$6:$E$505,$B23,Transactions!$D$6:$D$505,"Expense",Transactions!$B$6:$B$505,"&gt;="&amp;DATE(Setup!$D$5,2,1),Transactions!$B$6:$B$505,"&lt;="&amp;EOMONTH(DATE(Setup!$D$5,2,1),0))</f>
        <v>0</v>
      </c>
      <c r="E23" s="28" t="n">
        <f aca="false">SUMIFS(Transactions!$F$6:$F$505,Transactions!$E$6:$E$505,$B23,Transactions!$D$6:$D$505,"Expense",Transactions!$B$6:$B$505,"&gt;="&amp;DATE(Setup!$D$5,3,1),Transactions!$B$6:$B$505,"&lt;="&amp;EOMONTH(DATE(Setup!$D$5,3,1),0))</f>
        <v>0</v>
      </c>
      <c r="F23" s="28" t="n">
        <f aca="false">SUMIFS(Transactions!$F$6:$F$505,Transactions!$E$6:$E$505,$B23,Transactions!$D$6:$D$505,"Expense",Transactions!$B$6:$B$505,"&gt;="&amp;DATE(Setup!$D$5,4,1),Transactions!$B$6:$B$505,"&lt;="&amp;EOMONTH(DATE(Setup!$D$5,4,1),0))</f>
        <v>0</v>
      </c>
      <c r="G23" s="28" t="n">
        <f aca="false">SUMIFS(Transactions!$F$6:$F$505,Transactions!$E$6:$E$505,$B23,Transactions!$D$6:$D$505,"Expense",Transactions!$B$6:$B$505,"&gt;="&amp;DATE(Setup!$D$5,5,1),Transactions!$B$6:$B$505,"&lt;="&amp;EOMONTH(DATE(Setup!$D$5,5,1),0))</f>
        <v>0</v>
      </c>
      <c r="H23" s="28" t="n">
        <f aca="false">SUMIFS(Transactions!$F$6:$F$505,Transactions!$E$6:$E$505,$B23,Transactions!$D$6:$D$505,"Expense",Transactions!$B$6:$B$505,"&gt;="&amp;DATE(Setup!$D$5,6,1),Transactions!$B$6:$B$505,"&lt;="&amp;EOMONTH(DATE(Setup!$D$5,6,1),0))</f>
        <v>0</v>
      </c>
      <c r="I23" s="28" t="n">
        <f aca="false">SUMIFS(Transactions!$F$6:$F$505,Transactions!$E$6:$E$505,$B23,Transactions!$D$6:$D$505,"Expense",Transactions!$B$6:$B$505,"&gt;="&amp;DATE(Setup!$D$5,7,1),Transactions!$B$6:$B$505,"&lt;="&amp;EOMONTH(DATE(Setup!$D$5,7,1),0))</f>
        <v>0</v>
      </c>
      <c r="J23" s="28" t="n">
        <f aca="false">SUMIFS(Transactions!$F$6:$F$505,Transactions!$E$6:$E$505,$B23,Transactions!$D$6:$D$505,"Expense",Transactions!$B$6:$B$505,"&gt;="&amp;DATE(Setup!$D$5,8,1),Transactions!$B$6:$B$505,"&lt;="&amp;EOMONTH(DATE(Setup!$D$5,8,1),0))</f>
        <v>0</v>
      </c>
      <c r="K23" s="28" t="n">
        <f aca="false">SUMIFS(Transactions!$F$6:$F$505,Transactions!$E$6:$E$505,$B23,Transactions!$D$6:$D$505,"Expense",Transactions!$B$6:$B$505,"&gt;="&amp;DATE(Setup!$D$5,9,1),Transactions!$B$6:$B$505,"&lt;="&amp;EOMONTH(DATE(Setup!$D$5,9,1),0))</f>
        <v>0</v>
      </c>
      <c r="L23" s="28" t="n">
        <f aca="false">SUMIFS(Transactions!$F$6:$F$505,Transactions!$E$6:$E$505,$B23,Transactions!$D$6:$D$505,"Expense",Transactions!$B$6:$B$505,"&gt;="&amp;DATE(Setup!$D$5,10,1),Transactions!$B$6:$B$505,"&lt;="&amp;EOMONTH(DATE(Setup!$D$5,10,1),0))</f>
        <v>0</v>
      </c>
      <c r="M23" s="28" t="n">
        <f aca="false">SUMIFS(Transactions!$F$6:$F$505,Transactions!$E$6:$E$505,$B23,Transactions!$D$6:$D$505,"Expense",Transactions!$B$6:$B$505,"&gt;="&amp;DATE(Setup!$D$5,11,1),Transactions!$B$6:$B$505,"&lt;="&amp;EOMONTH(DATE(Setup!$D$5,11,1),0))</f>
        <v>0</v>
      </c>
      <c r="N23" s="28" t="n">
        <f aca="false">SUMIFS(Transactions!$F$6:$F$505,Transactions!$E$6:$E$505,$B23,Transactions!$D$6:$D$505,"Expense",Transactions!$B$6:$B$505,"&gt;="&amp;DATE(Setup!$D$5,12,1),Transactions!$B$6:$B$505,"&lt;="&amp;EOMONTH(DATE(Setup!$D$5,12,1),0))</f>
        <v>0</v>
      </c>
      <c r="O23" s="29" t="n">
        <f aca="false">SUM(C23:N23)</f>
        <v>0</v>
      </c>
    </row>
    <row r="24" customFormat="false" ht="15" hidden="false" customHeight="false" outlineLevel="0" collapsed="false">
      <c r="B24" s="18" t="str">
        <f aca="false">Setup!D18</f>
        <v>Entertainment</v>
      </c>
      <c r="C24" s="28" t="n">
        <f aca="false">SUMIFS(Transactions!$F$6:$F$505,Transactions!$E$6:$E$505,$B24,Transactions!$D$6:$D$505,"Expense",Transactions!$B$6:$B$505,"&gt;="&amp;DATE(Setup!$D$5,1,1),Transactions!$B$6:$B$505,"&lt;="&amp;EOMONTH(DATE(Setup!$D$5,1,1),0))</f>
        <v>0</v>
      </c>
      <c r="D24" s="28" t="n">
        <f aca="false">SUMIFS(Transactions!$F$6:$F$505,Transactions!$E$6:$E$505,$B24,Transactions!$D$6:$D$505,"Expense",Transactions!$B$6:$B$505,"&gt;="&amp;DATE(Setup!$D$5,2,1),Transactions!$B$6:$B$505,"&lt;="&amp;EOMONTH(DATE(Setup!$D$5,2,1),0))</f>
        <v>0</v>
      </c>
      <c r="E24" s="28" t="n">
        <f aca="false">SUMIFS(Transactions!$F$6:$F$505,Transactions!$E$6:$E$505,$B24,Transactions!$D$6:$D$505,"Expense",Transactions!$B$6:$B$505,"&gt;="&amp;DATE(Setup!$D$5,3,1),Transactions!$B$6:$B$505,"&lt;="&amp;EOMONTH(DATE(Setup!$D$5,3,1),0))</f>
        <v>0</v>
      </c>
      <c r="F24" s="28" t="n">
        <f aca="false">SUMIFS(Transactions!$F$6:$F$505,Transactions!$E$6:$E$505,$B24,Transactions!$D$6:$D$505,"Expense",Transactions!$B$6:$B$505,"&gt;="&amp;DATE(Setup!$D$5,4,1),Transactions!$B$6:$B$505,"&lt;="&amp;EOMONTH(DATE(Setup!$D$5,4,1),0))</f>
        <v>0</v>
      </c>
      <c r="G24" s="28" t="n">
        <f aca="false">SUMIFS(Transactions!$F$6:$F$505,Transactions!$E$6:$E$505,$B24,Transactions!$D$6:$D$505,"Expense",Transactions!$B$6:$B$505,"&gt;="&amp;DATE(Setup!$D$5,5,1),Transactions!$B$6:$B$505,"&lt;="&amp;EOMONTH(DATE(Setup!$D$5,5,1),0))</f>
        <v>0</v>
      </c>
      <c r="H24" s="28" t="n">
        <f aca="false">SUMIFS(Transactions!$F$6:$F$505,Transactions!$E$6:$E$505,$B24,Transactions!$D$6:$D$505,"Expense",Transactions!$B$6:$B$505,"&gt;="&amp;DATE(Setup!$D$5,6,1),Transactions!$B$6:$B$505,"&lt;="&amp;EOMONTH(DATE(Setup!$D$5,6,1),0))</f>
        <v>0</v>
      </c>
      <c r="I24" s="28" t="n">
        <f aca="false">SUMIFS(Transactions!$F$6:$F$505,Transactions!$E$6:$E$505,$B24,Transactions!$D$6:$D$505,"Expense",Transactions!$B$6:$B$505,"&gt;="&amp;DATE(Setup!$D$5,7,1),Transactions!$B$6:$B$505,"&lt;="&amp;EOMONTH(DATE(Setup!$D$5,7,1),0))</f>
        <v>0</v>
      </c>
      <c r="J24" s="28" t="n">
        <f aca="false">SUMIFS(Transactions!$F$6:$F$505,Transactions!$E$6:$E$505,$B24,Transactions!$D$6:$D$505,"Expense",Transactions!$B$6:$B$505,"&gt;="&amp;DATE(Setup!$D$5,8,1),Transactions!$B$6:$B$505,"&lt;="&amp;EOMONTH(DATE(Setup!$D$5,8,1),0))</f>
        <v>0</v>
      </c>
      <c r="K24" s="28" t="n">
        <f aca="false">SUMIFS(Transactions!$F$6:$F$505,Transactions!$E$6:$E$505,$B24,Transactions!$D$6:$D$505,"Expense",Transactions!$B$6:$B$505,"&gt;="&amp;DATE(Setup!$D$5,9,1),Transactions!$B$6:$B$505,"&lt;="&amp;EOMONTH(DATE(Setup!$D$5,9,1),0))</f>
        <v>0</v>
      </c>
      <c r="L24" s="28" t="n">
        <f aca="false">SUMIFS(Transactions!$F$6:$F$505,Transactions!$E$6:$E$505,$B24,Transactions!$D$6:$D$505,"Expense",Transactions!$B$6:$B$505,"&gt;="&amp;DATE(Setup!$D$5,10,1),Transactions!$B$6:$B$505,"&lt;="&amp;EOMONTH(DATE(Setup!$D$5,10,1),0))</f>
        <v>0</v>
      </c>
      <c r="M24" s="28" t="n">
        <f aca="false">SUMIFS(Transactions!$F$6:$F$505,Transactions!$E$6:$E$505,$B24,Transactions!$D$6:$D$505,"Expense",Transactions!$B$6:$B$505,"&gt;="&amp;DATE(Setup!$D$5,11,1),Transactions!$B$6:$B$505,"&lt;="&amp;EOMONTH(DATE(Setup!$D$5,11,1),0))</f>
        <v>0</v>
      </c>
      <c r="N24" s="28" t="n">
        <f aca="false">SUMIFS(Transactions!$F$6:$F$505,Transactions!$E$6:$E$505,$B24,Transactions!$D$6:$D$505,"Expense",Transactions!$B$6:$B$505,"&gt;="&amp;DATE(Setup!$D$5,12,1),Transactions!$B$6:$B$505,"&lt;="&amp;EOMONTH(DATE(Setup!$D$5,12,1),0))</f>
        <v>0</v>
      </c>
      <c r="O24" s="29" t="n">
        <f aca="false">SUM(C24:N24)</f>
        <v>0</v>
      </c>
    </row>
    <row r="25" customFormat="false" ht="15" hidden="false" customHeight="false" outlineLevel="0" collapsed="false">
      <c r="B25" s="18" t="str">
        <f aca="false">Setup!D19</f>
        <v>Gifts &amp; Donations</v>
      </c>
      <c r="C25" s="28" t="n">
        <f aca="false">SUMIFS(Transactions!$F$6:$F$505,Transactions!$E$6:$E$505,$B25,Transactions!$D$6:$D$505,"Expense",Transactions!$B$6:$B$505,"&gt;="&amp;DATE(Setup!$D$5,1,1),Transactions!$B$6:$B$505,"&lt;="&amp;EOMONTH(DATE(Setup!$D$5,1,1),0))</f>
        <v>0</v>
      </c>
      <c r="D25" s="28" t="n">
        <f aca="false">SUMIFS(Transactions!$F$6:$F$505,Transactions!$E$6:$E$505,$B25,Transactions!$D$6:$D$505,"Expense",Transactions!$B$6:$B$505,"&gt;="&amp;DATE(Setup!$D$5,2,1),Transactions!$B$6:$B$505,"&lt;="&amp;EOMONTH(DATE(Setup!$D$5,2,1),0))</f>
        <v>0</v>
      </c>
      <c r="E25" s="28" t="n">
        <f aca="false">SUMIFS(Transactions!$F$6:$F$505,Transactions!$E$6:$E$505,$B25,Transactions!$D$6:$D$505,"Expense",Transactions!$B$6:$B$505,"&gt;="&amp;DATE(Setup!$D$5,3,1),Transactions!$B$6:$B$505,"&lt;="&amp;EOMONTH(DATE(Setup!$D$5,3,1),0))</f>
        <v>0</v>
      </c>
      <c r="F25" s="28" t="n">
        <f aca="false">SUMIFS(Transactions!$F$6:$F$505,Transactions!$E$6:$E$505,$B25,Transactions!$D$6:$D$505,"Expense",Transactions!$B$6:$B$505,"&gt;="&amp;DATE(Setup!$D$5,4,1),Transactions!$B$6:$B$505,"&lt;="&amp;EOMONTH(DATE(Setup!$D$5,4,1),0))</f>
        <v>0</v>
      </c>
      <c r="G25" s="28" t="n">
        <f aca="false">SUMIFS(Transactions!$F$6:$F$505,Transactions!$E$6:$E$505,$B25,Transactions!$D$6:$D$505,"Expense",Transactions!$B$6:$B$505,"&gt;="&amp;DATE(Setup!$D$5,5,1),Transactions!$B$6:$B$505,"&lt;="&amp;EOMONTH(DATE(Setup!$D$5,5,1),0))</f>
        <v>0</v>
      </c>
      <c r="H25" s="28" t="n">
        <f aca="false">SUMIFS(Transactions!$F$6:$F$505,Transactions!$E$6:$E$505,$B25,Transactions!$D$6:$D$505,"Expense",Transactions!$B$6:$B$505,"&gt;="&amp;DATE(Setup!$D$5,6,1),Transactions!$B$6:$B$505,"&lt;="&amp;EOMONTH(DATE(Setup!$D$5,6,1),0))</f>
        <v>0</v>
      </c>
      <c r="I25" s="28" t="n">
        <f aca="false">SUMIFS(Transactions!$F$6:$F$505,Transactions!$E$6:$E$505,$B25,Transactions!$D$6:$D$505,"Expense",Transactions!$B$6:$B$505,"&gt;="&amp;DATE(Setup!$D$5,7,1),Transactions!$B$6:$B$505,"&lt;="&amp;EOMONTH(DATE(Setup!$D$5,7,1),0))</f>
        <v>0</v>
      </c>
      <c r="J25" s="28" t="n">
        <f aca="false">SUMIFS(Transactions!$F$6:$F$505,Transactions!$E$6:$E$505,$B25,Transactions!$D$6:$D$505,"Expense",Transactions!$B$6:$B$505,"&gt;="&amp;DATE(Setup!$D$5,8,1),Transactions!$B$6:$B$505,"&lt;="&amp;EOMONTH(DATE(Setup!$D$5,8,1),0))</f>
        <v>0</v>
      </c>
      <c r="K25" s="28" t="n">
        <f aca="false">SUMIFS(Transactions!$F$6:$F$505,Transactions!$E$6:$E$505,$B25,Transactions!$D$6:$D$505,"Expense",Transactions!$B$6:$B$505,"&gt;="&amp;DATE(Setup!$D$5,9,1),Transactions!$B$6:$B$505,"&lt;="&amp;EOMONTH(DATE(Setup!$D$5,9,1),0))</f>
        <v>0</v>
      </c>
      <c r="L25" s="28" t="n">
        <f aca="false">SUMIFS(Transactions!$F$6:$F$505,Transactions!$E$6:$E$505,$B25,Transactions!$D$6:$D$505,"Expense",Transactions!$B$6:$B$505,"&gt;="&amp;DATE(Setup!$D$5,10,1),Transactions!$B$6:$B$505,"&lt;="&amp;EOMONTH(DATE(Setup!$D$5,10,1),0))</f>
        <v>0</v>
      </c>
      <c r="M25" s="28" t="n">
        <f aca="false">SUMIFS(Transactions!$F$6:$F$505,Transactions!$E$6:$E$505,$B25,Transactions!$D$6:$D$505,"Expense",Transactions!$B$6:$B$505,"&gt;="&amp;DATE(Setup!$D$5,11,1),Transactions!$B$6:$B$505,"&lt;="&amp;EOMONTH(DATE(Setup!$D$5,11,1),0))</f>
        <v>0</v>
      </c>
      <c r="N25" s="28" t="n">
        <f aca="false">SUMIFS(Transactions!$F$6:$F$505,Transactions!$E$6:$E$505,$B25,Transactions!$D$6:$D$505,"Expense",Transactions!$B$6:$B$505,"&gt;="&amp;DATE(Setup!$D$5,12,1),Transactions!$B$6:$B$505,"&lt;="&amp;EOMONTH(DATE(Setup!$D$5,12,1),0))</f>
        <v>0</v>
      </c>
      <c r="O25" s="29" t="n">
        <f aca="false">SUM(C25:N25)</f>
        <v>0</v>
      </c>
    </row>
    <row r="26" customFormat="false" ht="15" hidden="false" customHeight="false" outlineLevel="0" collapsed="false">
      <c r="B26" s="18" t="str">
        <f aca="false">Setup!D20</f>
        <v>Savings</v>
      </c>
      <c r="C26" s="28" t="n">
        <f aca="false">SUMIFS(Transactions!$F$6:$F$505,Transactions!$E$6:$E$505,$B26,Transactions!$D$6:$D$505,"Expense",Transactions!$B$6:$B$505,"&gt;="&amp;DATE(Setup!$D$5,1,1),Transactions!$B$6:$B$505,"&lt;="&amp;EOMONTH(DATE(Setup!$D$5,1,1),0))</f>
        <v>0</v>
      </c>
      <c r="D26" s="28" t="n">
        <f aca="false">SUMIFS(Transactions!$F$6:$F$505,Transactions!$E$6:$E$505,$B26,Transactions!$D$6:$D$505,"Expense",Transactions!$B$6:$B$505,"&gt;="&amp;DATE(Setup!$D$5,2,1),Transactions!$B$6:$B$505,"&lt;="&amp;EOMONTH(DATE(Setup!$D$5,2,1),0))</f>
        <v>0</v>
      </c>
      <c r="E26" s="28" t="n">
        <f aca="false">SUMIFS(Transactions!$F$6:$F$505,Transactions!$E$6:$E$505,$B26,Transactions!$D$6:$D$505,"Expense",Transactions!$B$6:$B$505,"&gt;="&amp;DATE(Setup!$D$5,3,1),Transactions!$B$6:$B$505,"&lt;="&amp;EOMONTH(DATE(Setup!$D$5,3,1),0))</f>
        <v>0</v>
      </c>
      <c r="F26" s="28" t="n">
        <f aca="false">SUMIFS(Transactions!$F$6:$F$505,Transactions!$E$6:$E$505,$B26,Transactions!$D$6:$D$505,"Expense",Transactions!$B$6:$B$505,"&gt;="&amp;DATE(Setup!$D$5,4,1),Transactions!$B$6:$B$505,"&lt;="&amp;EOMONTH(DATE(Setup!$D$5,4,1),0))</f>
        <v>0</v>
      </c>
      <c r="G26" s="28" t="n">
        <f aca="false">SUMIFS(Transactions!$F$6:$F$505,Transactions!$E$6:$E$505,$B26,Transactions!$D$6:$D$505,"Expense",Transactions!$B$6:$B$505,"&gt;="&amp;DATE(Setup!$D$5,5,1),Transactions!$B$6:$B$505,"&lt;="&amp;EOMONTH(DATE(Setup!$D$5,5,1),0))</f>
        <v>0</v>
      </c>
      <c r="H26" s="28" t="n">
        <f aca="false">SUMIFS(Transactions!$F$6:$F$505,Transactions!$E$6:$E$505,$B26,Transactions!$D$6:$D$505,"Expense",Transactions!$B$6:$B$505,"&gt;="&amp;DATE(Setup!$D$5,6,1),Transactions!$B$6:$B$505,"&lt;="&amp;EOMONTH(DATE(Setup!$D$5,6,1),0))</f>
        <v>0</v>
      </c>
      <c r="I26" s="28" t="n">
        <f aca="false">SUMIFS(Transactions!$F$6:$F$505,Transactions!$E$6:$E$505,$B26,Transactions!$D$6:$D$505,"Expense",Transactions!$B$6:$B$505,"&gt;="&amp;DATE(Setup!$D$5,7,1),Transactions!$B$6:$B$505,"&lt;="&amp;EOMONTH(DATE(Setup!$D$5,7,1),0))</f>
        <v>0</v>
      </c>
      <c r="J26" s="28" t="n">
        <f aca="false">SUMIFS(Transactions!$F$6:$F$505,Transactions!$E$6:$E$505,$B26,Transactions!$D$6:$D$505,"Expense",Transactions!$B$6:$B$505,"&gt;="&amp;DATE(Setup!$D$5,8,1),Transactions!$B$6:$B$505,"&lt;="&amp;EOMONTH(DATE(Setup!$D$5,8,1),0))</f>
        <v>0</v>
      </c>
      <c r="K26" s="28" t="n">
        <f aca="false">SUMIFS(Transactions!$F$6:$F$505,Transactions!$E$6:$E$505,$B26,Transactions!$D$6:$D$505,"Expense",Transactions!$B$6:$B$505,"&gt;="&amp;DATE(Setup!$D$5,9,1),Transactions!$B$6:$B$505,"&lt;="&amp;EOMONTH(DATE(Setup!$D$5,9,1),0))</f>
        <v>0</v>
      </c>
      <c r="L26" s="28" t="n">
        <f aca="false">SUMIFS(Transactions!$F$6:$F$505,Transactions!$E$6:$E$505,$B26,Transactions!$D$6:$D$505,"Expense",Transactions!$B$6:$B$505,"&gt;="&amp;DATE(Setup!$D$5,10,1),Transactions!$B$6:$B$505,"&lt;="&amp;EOMONTH(DATE(Setup!$D$5,10,1),0))</f>
        <v>0</v>
      </c>
      <c r="M26" s="28" t="n">
        <f aca="false">SUMIFS(Transactions!$F$6:$F$505,Transactions!$E$6:$E$505,$B26,Transactions!$D$6:$D$505,"Expense",Transactions!$B$6:$B$505,"&gt;="&amp;DATE(Setup!$D$5,11,1),Transactions!$B$6:$B$505,"&lt;="&amp;EOMONTH(DATE(Setup!$D$5,11,1),0))</f>
        <v>0</v>
      </c>
      <c r="N26" s="28" t="n">
        <f aca="false">SUMIFS(Transactions!$F$6:$F$505,Transactions!$E$6:$E$505,$B26,Transactions!$D$6:$D$505,"Expense",Transactions!$B$6:$B$505,"&gt;="&amp;DATE(Setup!$D$5,12,1),Transactions!$B$6:$B$505,"&lt;="&amp;EOMONTH(DATE(Setup!$D$5,12,1),0))</f>
        <v>0</v>
      </c>
      <c r="O26" s="29" t="n">
        <f aca="false">SUM(C26:N26)</f>
        <v>0</v>
      </c>
    </row>
    <row r="27" customFormat="false" ht="15" hidden="false" customHeight="false" outlineLevel="0" collapsed="false">
      <c r="B27" s="18" t="str">
        <f aca="false">Setup!D21</f>
        <v>Debt payments</v>
      </c>
      <c r="C27" s="28" t="n">
        <f aca="false">SUMIFS(Transactions!$F$6:$F$505,Transactions!$E$6:$E$505,$B27,Transactions!$D$6:$D$505,"Expense",Transactions!$B$6:$B$505,"&gt;="&amp;DATE(Setup!$D$5,1,1),Transactions!$B$6:$B$505,"&lt;="&amp;EOMONTH(DATE(Setup!$D$5,1,1),0))</f>
        <v>0</v>
      </c>
      <c r="D27" s="28" t="n">
        <f aca="false">SUMIFS(Transactions!$F$6:$F$505,Transactions!$E$6:$E$505,$B27,Transactions!$D$6:$D$505,"Expense",Transactions!$B$6:$B$505,"&gt;="&amp;DATE(Setup!$D$5,2,1),Transactions!$B$6:$B$505,"&lt;="&amp;EOMONTH(DATE(Setup!$D$5,2,1),0))</f>
        <v>0</v>
      </c>
      <c r="E27" s="28" t="n">
        <f aca="false">SUMIFS(Transactions!$F$6:$F$505,Transactions!$E$6:$E$505,$B27,Transactions!$D$6:$D$505,"Expense",Transactions!$B$6:$B$505,"&gt;="&amp;DATE(Setup!$D$5,3,1),Transactions!$B$6:$B$505,"&lt;="&amp;EOMONTH(DATE(Setup!$D$5,3,1),0))</f>
        <v>0</v>
      </c>
      <c r="F27" s="28" t="n">
        <f aca="false">SUMIFS(Transactions!$F$6:$F$505,Transactions!$E$6:$E$505,$B27,Transactions!$D$6:$D$505,"Expense",Transactions!$B$6:$B$505,"&gt;="&amp;DATE(Setup!$D$5,4,1),Transactions!$B$6:$B$505,"&lt;="&amp;EOMONTH(DATE(Setup!$D$5,4,1),0))</f>
        <v>0</v>
      </c>
      <c r="G27" s="28" t="n">
        <f aca="false">SUMIFS(Transactions!$F$6:$F$505,Transactions!$E$6:$E$505,$B27,Transactions!$D$6:$D$505,"Expense",Transactions!$B$6:$B$505,"&gt;="&amp;DATE(Setup!$D$5,5,1),Transactions!$B$6:$B$505,"&lt;="&amp;EOMONTH(DATE(Setup!$D$5,5,1),0))</f>
        <v>0</v>
      </c>
      <c r="H27" s="28" t="n">
        <f aca="false">SUMIFS(Transactions!$F$6:$F$505,Transactions!$E$6:$E$505,$B27,Transactions!$D$6:$D$505,"Expense",Transactions!$B$6:$B$505,"&gt;="&amp;DATE(Setup!$D$5,6,1),Transactions!$B$6:$B$505,"&lt;="&amp;EOMONTH(DATE(Setup!$D$5,6,1),0))</f>
        <v>0</v>
      </c>
      <c r="I27" s="28" t="n">
        <f aca="false">SUMIFS(Transactions!$F$6:$F$505,Transactions!$E$6:$E$505,$B27,Transactions!$D$6:$D$505,"Expense",Transactions!$B$6:$B$505,"&gt;="&amp;DATE(Setup!$D$5,7,1),Transactions!$B$6:$B$505,"&lt;="&amp;EOMONTH(DATE(Setup!$D$5,7,1),0))</f>
        <v>0</v>
      </c>
      <c r="J27" s="28" t="n">
        <f aca="false">SUMIFS(Transactions!$F$6:$F$505,Transactions!$E$6:$E$505,$B27,Transactions!$D$6:$D$505,"Expense",Transactions!$B$6:$B$505,"&gt;="&amp;DATE(Setup!$D$5,8,1),Transactions!$B$6:$B$505,"&lt;="&amp;EOMONTH(DATE(Setup!$D$5,8,1),0))</f>
        <v>0</v>
      </c>
      <c r="K27" s="28" t="n">
        <f aca="false">SUMIFS(Transactions!$F$6:$F$505,Transactions!$E$6:$E$505,$B27,Transactions!$D$6:$D$505,"Expense",Transactions!$B$6:$B$505,"&gt;="&amp;DATE(Setup!$D$5,9,1),Transactions!$B$6:$B$505,"&lt;="&amp;EOMONTH(DATE(Setup!$D$5,9,1),0))</f>
        <v>0</v>
      </c>
      <c r="L27" s="28" t="n">
        <f aca="false">SUMIFS(Transactions!$F$6:$F$505,Transactions!$E$6:$E$505,$B27,Transactions!$D$6:$D$505,"Expense",Transactions!$B$6:$B$505,"&gt;="&amp;DATE(Setup!$D$5,10,1),Transactions!$B$6:$B$505,"&lt;="&amp;EOMONTH(DATE(Setup!$D$5,10,1),0))</f>
        <v>0</v>
      </c>
      <c r="M27" s="28" t="n">
        <f aca="false">SUMIFS(Transactions!$F$6:$F$505,Transactions!$E$6:$E$505,$B27,Transactions!$D$6:$D$505,"Expense",Transactions!$B$6:$B$505,"&gt;="&amp;DATE(Setup!$D$5,11,1),Transactions!$B$6:$B$505,"&lt;="&amp;EOMONTH(DATE(Setup!$D$5,11,1),0))</f>
        <v>0</v>
      </c>
      <c r="N27" s="28" t="n">
        <f aca="false">SUMIFS(Transactions!$F$6:$F$505,Transactions!$E$6:$E$505,$B27,Transactions!$D$6:$D$505,"Expense",Transactions!$B$6:$B$505,"&gt;="&amp;DATE(Setup!$D$5,12,1),Transactions!$B$6:$B$505,"&lt;="&amp;EOMONTH(DATE(Setup!$D$5,12,1),0))</f>
        <v>0</v>
      </c>
      <c r="O27" s="29" t="n">
        <f aca="false">SUM(C27:N27)</f>
        <v>0</v>
      </c>
    </row>
    <row r="28" customFormat="false" ht="15" hidden="false" customHeight="false" outlineLevel="0" collapsed="false">
      <c r="B28" s="18" t="str">
        <f aca="false">Setup!D22</f>
        <v>Personal care</v>
      </c>
      <c r="C28" s="28" t="n">
        <f aca="false">SUMIFS(Transactions!$F$6:$F$505,Transactions!$E$6:$E$505,$B28,Transactions!$D$6:$D$505,"Expense",Transactions!$B$6:$B$505,"&gt;="&amp;DATE(Setup!$D$5,1,1),Transactions!$B$6:$B$505,"&lt;="&amp;EOMONTH(DATE(Setup!$D$5,1,1),0))</f>
        <v>0</v>
      </c>
      <c r="D28" s="28" t="n">
        <f aca="false">SUMIFS(Transactions!$F$6:$F$505,Transactions!$E$6:$E$505,$B28,Transactions!$D$6:$D$505,"Expense",Transactions!$B$6:$B$505,"&gt;="&amp;DATE(Setup!$D$5,2,1),Transactions!$B$6:$B$505,"&lt;="&amp;EOMONTH(DATE(Setup!$D$5,2,1),0))</f>
        <v>0</v>
      </c>
      <c r="E28" s="28" t="n">
        <f aca="false">SUMIFS(Transactions!$F$6:$F$505,Transactions!$E$6:$E$505,$B28,Transactions!$D$6:$D$505,"Expense",Transactions!$B$6:$B$505,"&gt;="&amp;DATE(Setup!$D$5,3,1),Transactions!$B$6:$B$505,"&lt;="&amp;EOMONTH(DATE(Setup!$D$5,3,1),0))</f>
        <v>0</v>
      </c>
      <c r="F28" s="28" t="n">
        <f aca="false">SUMIFS(Transactions!$F$6:$F$505,Transactions!$E$6:$E$505,$B28,Transactions!$D$6:$D$505,"Expense",Transactions!$B$6:$B$505,"&gt;="&amp;DATE(Setup!$D$5,4,1),Transactions!$B$6:$B$505,"&lt;="&amp;EOMONTH(DATE(Setup!$D$5,4,1),0))</f>
        <v>0</v>
      </c>
      <c r="G28" s="28" t="n">
        <f aca="false">SUMIFS(Transactions!$F$6:$F$505,Transactions!$E$6:$E$505,$B28,Transactions!$D$6:$D$505,"Expense",Transactions!$B$6:$B$505,"&gt;="&amp;DATE(Setup!$D$5,5,1),Transactions!$B$6:$B$505,"&lt;="&amp;EOMONTH(DATE(Setup!$D$5,5,1),0))</f>
        <v>0</v>
      </c>
      <c r="H28" s="28" t="n">
        <f aca="false">SUMIFS(Transactions!$F$6:$F$505,Transactions!$E$6:$E$505,$B28,Transactions!$D$6:$D$505,"Expense",Transactions!$B$6:$B$505,"&gt;="&amp;DATE(Setup!$D$5,6,1),Transactions!$B$6:$B$505,"&lt;="&amp;EOMONTH(DATE(Setup!$D$5,6,1),0))</f>
        <v>0</v>
      </c>
      <c r="I28" s="28" t="n">
        <f aca="false">SUMIFS(Transactions!$F$6:$F$505,Transactions!$E$6:$E$505,$B28,Transactions!$D$6:$D$505,"Expense",Transactions!$B$6:$B$505,"&gt;="&amp;DATE(Setup!$D$5,7,1),Transactions!$B$6:$B$505,"&lt;="&amp;EOMONTH(DATE(Setup!$D$5,7,1),0))</f>
        <v>0</v>
      </c>
      <c r="J28" s="28" t="n">
        <f aca="false">SUMIFS(Transactions!$F$6:$F$505,Transactions!$E$6:$E$505,$B28,Transactions!$D$6:$D$505,"Expense",Transactions!$B$6:$B$505,"&gt;="&amp;DATE(Setup!$D$5,8,1),Transactions!$B$6:$B$505,"&lt;="&amp;EOMONTH(DATE(Setup!$D$5,8,1),0))</f>
        <v>0</v>
      </c>
      <c r="K28" s="28" t="n">
        <f aca="false">SUMIFS(Transactions!$F$6:$F$505,Transactions!$E$6:$E$505,$B28,Transactions!$D$6:$D$505,"Expense",Transactions!$B$6:$B$505,"&gt;="&amp;DATE(Setup!$D$5,9,1),Transactions!$B$6:$B$505,"&lt;="&amp;EOMONTH(DATE(Setup!$D$5,9,1),0))</f>
        <v>0</v>
      </c>
      <c r="L28" s="28" t="n">
        <f aca="false">SUMIFS(Transactions!$F$6:$F$505,Transactions!$E$6:$E$505,$B28,Transactions!$D$6:$D$505,"Expense",Transactions!$B$6:$B$505,"&gt;="&amp;DATE(Setup!$D$5,10,1),Transactions!$B$6:$B$505,"&lt;="&amp;EOMONTH(DATE(Setup!$D$5,10,1),0))</f>
        <v>0</v>
      </c>
      <c r="M28" s="28" t="n">
        <f aca="false">SUMIFS(Transactions!$F$6:$F$505,Transactions!$E$6:$E$505,$B28,Transactions!$D$6:$D$505,"Expense",Transactions!$B$6:$B$505,"&gt;="&amp;DATE(Setup!$D$5,11,1),Transactions!$B$6:$B$505,"&lt;="&amp;EOMONTH(DATE(Setup!$D$5,11,1),0))</f>
        <v>0</v>
      </c>
      <c r="N28" s="28" t="n">
        <f aca="false">SUMIFS(Transactions!$F$6:$F$505,Transactions!$E$6:$E$505,$B28,Transactions!$D$6:$D$505,"Expense",Transactions!$B$6:$B$505,"&gt;="&amp;DATE(Setup!$D$5,12,1),Transactions!$B$6:$B$505,"&lt;="&amp;EOMONTH(DATE(Setup!$D$5,12,1),0))</f>
        <v>0</v>
      </c>
      <c r="O28" s="29" t="n">
        <f aca="false">SUM(C28:N28)</f>
        <v>0</v>
      </c>
    </row>
    <row r="29" customFormat="false" ht="15" hidden="false" customHeight="false" outlineLevel="0" collapsed="false">
      <c r="B29" s="18" t="str">
        <f aca="false">Setup!D23</f>
        <v>Miscellaneous</v>
      </c>
      <c r="C29" s="28" t="n">
        <f aca="false">SUMIFS(Transactions!$F$6:$F$505,Transactions!$E$6:$E$505,$B29,Transactions!$D$6:$D$505,"Expense",Transactions!$B$6:$B$505,"&gt;="&amp;DATE(Setup!$D$5,1,1),Transactions!$B$6:$B$505,"&lt;="&amp;EOMONTH(DATE(Setup!$D$5,1,1),0))</f>
        <v>0</v>
      </c>
      <c r="D29" s="28" t="n">
        <f aca="false">SUMIFS(Transactions!$F$6:$F$505,Transactions!$E$6:$E$505,$B29,Transactions!$D$6:$D$505,"Expense",Transactions!$B$6:$B$505,"&gt;="&amp;DATE(Setup!$D$5,2,1),Transactions!$B$6:$B$505,"&lt;="&amp;EOMONTH(DATE(Setup!$D$5,2,1),0))</f>
        <v>0</v>
      </c>
      <c r="E29" s="28" t="n">
        <f aca="false">SUMIFS(Transactions!$F$6:$F$505,Transactions!$E$6:$E$505,$B29,Transactions!$D$6:$D$505,"Expense",Transactions!$B$6:$B$505,"&gt;="&amp;DATE(Setup!$D$5,3,1),Transactions!$B$6:$B$505,"&lt;="&amp;EOMONTH(DATE(Setup!$D$5,3,1),0))</f>
        <v>0</v>
      </c>
      <c r="F29" s="28" t="n">
        <f aca="false">SUMIFS(Transactions!$F$6:$F$505,Transactions!$E$6:$E$505,$B29,Transactions!$D$6:$D$505,"Expense",Transactions!$B$6:$B$505,"&gt;="&amp;DATE(Setup!$D$5,4,1),Transactions!$B$6:$B$505,"&lt;="&amp;EOMONTH(DATE(Setup!$D$5,4,1),0))</f>
        <v>0</v>
      </c>
      <c r="G29" s="28" t="n">
        <f aca="false">SUMIFS(Transactions!$F$6:$F$505,Transactions!$E$6:$E$505,$B29,Transactions!$D$6:$D$505,"Expense",Transactions!$B$6:$B$505,"&gt;="&amp;DATE(Setup!$D$5,5,1),Transactions!$B$6:$B$505,"&lt;="&amp;EOMONTH(DATE(Setup!$D$5,5,1),0))</f>
        <v>0</v>
      </c>
      <c r="H29" s="28" t="n">
        <f aca="false">SUMIFS(Transactions!$F$6:$F$505,Transactions!$E$6:$E$505,$B29,Transactions!$D$6:$D$505,"Expense",Transactions!$B$6:$B$505,"&gt;="&amp;DATE(Setup!$D$5,6,1),Transactions!$B$6:$B$505,"&lt;="&amp;EOMONTH(DATE(Setup!$D$5,6,1),0))</f>
        <v>0</v>
      </c>
      <c r="I29" s="28" t="n">
        <f aca="false">SUMIFS(Transactions!$F$6:$F$505,Transactions!$E$6:$E$505,$B29,Transactions!$D$6:$D$505,"Expense",Transactions!$B$6:$B$505,"&gt;="&amp;DATE(Setup!$D$5,7,1),Transactions!$B$6:$B$505,"&lt;="&amp;EOMONTH(DATE(Setup!$D$5,7,1),0))</f>
        <v>0</v>
      </c>
      <c r="J29" s="28" t="n">
        <f aca="false">SUMIFS(Transactions!$F$6:$F$505,Transactions!$E$6:$E$505,$B29,Transactions!$D$6:$D$505,"Expense",Transactions!$B$6:$B$505,"&gt;="&amp;DATE(Setup!$D$5,8,1),Transactions!$B$6:$B$505,"&lt;="&amp;EOMONTH(DATE(Setup!$D$5,8,1),0))</f>
        <v>0</v>
      </c>
      <c r="K29" s="28" t="n">
        <f aca="false">SUMIFS(Transactions!$F$6:$F$505,Transactions!$E$6:$E$505,$B29,Transactions!$D$6:$D$505,"Expense",Transactions!$B$6:$B$505,"&gt;="&amp;DATE(Setup!$D$5,9,1),Transactions!$B$6:$B$505,"&lt;="&amp;EOMONTH(DATE(Setup!$D$5,9,1),0))</f>
        <v>0</v>
      </c>
      <c r="L29" s="28" t="n">
        <f aca="false">SUMIFS(Transactions!$F$6:$F$505,Transactions!$E$6:$E$505,$B29,Transactions!$D$6:$D$505,"Expense",Transactions!$B$6:$B$505,"&gt;="&amp;DATE(Setup!$D$5,10,1),Transactions!$B$6:$B$505,"&lt;="&amp;EOMONTH(DATE(Setup!$D$5,10,1),0))</f>
        <v>0</v>
      </c>
      <c r="M29" s="28" t="n">
        <f aca="false">SUMIFS(Transactions!$F$6:$F$505,Transactions!$E$6:$E$505,$B29,Transactions!$D$6:$D$505,"Expense",Transactions!$B$6:$B$505,"&gt;="&amp;DATE(Setup!$D$5,11,1),Transactions!$B$6:$B$505,"&lt;="&amp;EOMONTH(DATE(Setup!$D$5,11,1),0))</f>
        <v>0</v>
      </c>
      <c r="N29" s="28" t="n">
        <f aca="false">SUMIFS(Transactions!$F$6:$F$505,Transactions!$E$6:$E$505,$B29,Transactions!$D$6:$D$505,"Expense",Transactions!$B$6:$B$505,"&gt;="&amp;DATE(Setup!$D$5,12,1),Transactions!$B$6:$B$505,"&lt;="&amp;EOMONTH(DATE(Setup!$D$5,12,1),0))</f>
        <v>0</v>
      </c>
      <c r="O29" s="29" t="n">
        <f aca="false">SUM(C29:N29)</f>
        <v>0</v>
      </c>
    </row>
    <row r="31" customFormat="false" ht="15" hidden="false" customHeight="false" outlineLevel="0" collapsed="false">
      <c r="B31" s="12" t="s">
        <v>27</v>
      </c>
      <c r="C31" s="29" t="n">
        <f aca="false">SUM(C7:C12)</f>
        <v>3200</v>
      </c>
      <c r="D31" s="29" t="n">
        <f aca="false">SUM(D7:D12)</f>
        <v>0</v>
      </c>
      <c r="E31" s="29" t="n">
        <f aca="false">SUM(E7:E12)</f>
        <v>0</v>
      </c>
      <c r="F31" s="29" t="n">
        <f aca="false">SUM(F7:F12)</f>
        <v>0</v>
      </c>
      <c r="G31" s="29" t="n">
        <f aca="false">SUM(G7:G12)</f>
        <v>0</v>
      </c>
      <c r="H31" s="29" t="n">
        <f aca="false">SUM(H7:H12)</f>
        <v>0</v>
      </c>
      <c r="I31" s="29" t="n">
        <f aca="false">SUM(I7:I12)</f>
        <v>0</v>
      </c>
      <c r="J31" s="29" t="n">
        <f aca="false">SUM(J7:J12)</f>
        <v>0</v>
      </c>
      <c r="K31" s="29" t="n">
        <f aca="false">SUM(K7:K12)</f>
        <v>0</v>
      </c>
      <c r="L31" s="29" t="n">
        <f aca="false">SUM(L7:L12)</f>
        <v>0</v>
      </c>
      <c r="M31" s="29" t="n">
        <f aca="false">SUM(M7:M12)</f>
        <v>0</v>
      </c>
      <c r="N31" s="29" t="n">
        <f aca="false">SUM(N7:N12)</f>
        <v>0</v>
      </c>
      <c r="O31" s="29" t="n">
        <f aca="false">SUM(O7:O12)</f>
        <v>3200</v>
      </c>
    </row>
    <row r="32" customFormat="false" ht="15" hidden="false" customHeight="false" outlineLevel="0" collapsed="false">
      <c r="B32" s="12" t="s">
        <v>30</v>
      </c>
      <c r="C32" s="29" t="n">
        <f aca="false">SUM(C14:C29)</f>
        <v>1218.9</v>
      </c>
      <c r="D32" s="29" t="n">
        <f aca="false">SUM(D14:D29)</f>
        <v>0</v>
      </c>
      <c r="E32" s="29" t="n">
        <f aca="false">SUM(E14:E29)</f>
        <v>0</v>
      </c>
      <c r="F32" s="29" t="n">
        <f aca="false">SUM(F14:F29)</f>
        <v>0</v>
      </c>
      <c r="G32" s="29" t="n">
        <f aca="false">SUM(G14:G29)</f>
        <v>0</v>
      </c>
      <c r="H32" s="29" t="n">
        <f aca="false">SUM(H14:H29)</f>
        <v>0</v>
      </c>
      <c r="I32" s="29" t="n">
        <f aca="false">SUM(I14:I29)</f>
        <v>0</v>
      </c>
      <c r="J32" s="29" t="n">
        <f aca="false">SUM(J14:J29)</f>
        <v>0</v>
      </c>
      <c r="K32" s="29" t="n">
        <f aca="false">SUM(K14:K29)</f>
        <v>0</v>
      </c>
      <c r="L32" s="29" t="n">
        <f aca="false">SUM(L14:L29)</f>
        <v>0</v>
      </c>
      <c r="M32" s="29" t="n">
        <f aca="false">SUM(M14:M29)</f>
        <v>0</v>
      </c>
      <c r="N32" s="29" t="n">
        <f aca="false">SUM(N14:N29)</f>
        <v>0</v>
      </c>
      <c r="O32" s="29" t="n">
        <f aca="false">SUM(O14:O29)</f>
        <v>1218.9</v>
      </c>
    </row>
    <row r="33" customFormat="false" ht="15" hidden="false" customHeight="false" outlineLevel="0" collapsed="false">
      <c r="B33" s="12" t="s">
        <v>49</v>
      </c>
      <c r="C33" s="29" t="n">
        <f aca="false">C31-C32</f>
        <v>1981.1</v>
      </c>
      <c r="D33" s="29" t="n">
        <f aca="false">D31-D32</f>
        <v>0</v>
      </c>
      <c r="E33" s="29" t="n">
        <f aca="false">E31-E32</f>
        <v>0</v>
      </c>
      <c r="F33" s="29" t="n">
        <f aca="false">F31-F32</f>
        <v>0</v>
      </c>
      <c r="G33" s="29" t="n">
        <f aca="false">G31-G32</f>
        <v>0</v>
      </c>
      <c r="H33" s="29" t="n">
        <f aca="false">H31-H32</f>
        <v>0</v>
      </c>
      <c r="I33" s="29" t="n">
        <f aca="false">I31-I32</f>
        <v>0</v>
      </c>
      <c r="J33" s="29" t="n">
        <f aca="false">J31-J32</f>
        <v>0</v>
      </c>
      <c r="K33" s="29" t="n">
        <f aca="false">K31-K32</f>
        <v>0</v>
      </c>
      <c r="L33" s="29" t="n">
        <f aca="false">L31-L32</f>
        <v>0</v>
      </c>
      <c r="M33" s="29" t="n">
        <f aca="false">M31-M32</f>
        <v>0</v>
      </c>
      <c r="N33" s="29" t="n">
        <f aca="false">N31-N32</f>
        <v>0</v>
      </c>
      <c r="O33" s="29" t="n">
        <f aca="false">O31-O32</f>
        <v>1981.1</v>
      </c>
    </row>
  </sheetData>
  <conditionalFormatting sqref="C33:O33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452F"/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"/>
    <col collapsed="false" customWidth="true" hidden="false" outlineLevel="0" max="4" min="4" style="0" width="30"/>
    <col collapsed="false" customWidth="true" hidden="false" outlineLevel="0" max="6" min="6" style="0" width="22"/>
  </cols>
  <sheetData>
    <row r="1" customFormat="false" ht="6" hidden="false" customHeight="true" outlineLevel="0" collapsed="false">
      <c r="A1" s="1"/>
      <c r="B1" s="2"/>
      <c r="C1" s="3"/>
      <c r="D1" s="11"/>
      <c r="E1" s="1"/>
    </row>
    <row r="2" customFormat="false" ht="31.5" hidden="false" customHeight="true" outlineLevel="0" collapsed="false">
      <c r="A2" s="4"/>
      <c r="B2" s="5" t="s">
        <v>50</v>
      </c>
      <c r="C2" s="4"/>
      <c r="D2" s="4"/>
      <c r="E2" s="4"/>
    </row>
    <row r="3" customFormat="false" ht="15" hidden="false" customHeight="false" outlineLevel="0" collapsed="false">
      <c r="A3" s="4"/>
      <c r="B3" s="6" t="s">
        <v>51</v>
      </c>
      <c r="C3" s="4"/>
      <c r="D3" s="4"/>
      <c r="E3" s="4"/>
    </row>
    <row r="5" customFormat="false" ht="15" hidden="false" customHeight="false" outlineLevel="0" collapsed="false">
      <c r="B5" s="12" t="s">
        <v>52</v>
      </c>
      <c r="D5" s="13" t="n">
        <v>2026</v>
      </c>
    </row>
    <row r="7" customFormat="false" ht="21.75" hidden="false" customHeight="true" outlineLevel="0" collapsed="false">
      <c r="B7" s="16" t="s">
        <v>53</v>
      </c>
      <c r="D7" s="24" t="s">
        <v>54</v>
      </c>
      <c r="F7" s="32" t="s">
        <v>55</v>
      </c>
    </row>
    <row r="8" customFormat="false" ht="15" hidden="false" customHeight="false" outlineLevel="0" collapsed="false">
      <c r="B8" s="9" t="s">
        <v>56</v>
      </c>
      <c r="D8" s="9" t="s">
        <v>57</v>
      </c>
      <c r="F8" s="33" t="str">
        <f aca="false">B8</f>
        <v>Salary</v>
      </c>
    </row>
    <row r="9" customFormat="false" ht="15" hidden="false" customHeight="false" outlineLevel="0" collapsed="false">
      <c r="B9" s="9" t="s">
        <v>58</v>
      </c>
      <c r="D9" s="9" t="s">
        <v>59</v>
      </c>
      <c r="F9" s="33" t="str">
        <f aca="false">B9</f>
        <v>Side hustle</v>
      </c>
    </row>
    <row r="10" customFormat="false" ht="15" hidden="false" customHeight="false" outlineLevel="0" collapsed="false">
      <c r="B10" s="9" t="s">
        <v>60</v>
      </c>
      <c r="D10" s="9" t="s">
        <v>61</v>
      </c>
      <c r="F10" s="33" t="str">
        <f aca="false">B10</f>
        <v>Freelance</v>
      </c>
    </row>
    <row r="11" customFormat="false" ht="15" hidden="false" customHeight="false" outlineLevel="0" collapsed="false">
      <c r="B11" s="9" t="s">
        <v>62</v>
      </c>
      <c r="D11" s="9" t="s">
        <v>63</v>
      </c>
      <c r="F11" s="33" t="str">
        <f aca="false">B11</f>
        <v>Gifts</v>
      </c>
    </row>
    <row r="12" customFormat="false" ht="15" hidden="false" customHeight="false" outlineLevel="0" collapsed="false">
      <c r="B12" s="9" t="s">
        <v>64</v>
      </c>
      <c r="D12" s="9" t="s">
        <v>65</v>
      </c>
      <c r="F12" s="33" t="str">
        <f aca="false">B12</f>
        <v>Interest</v>
      </c>
    </row>
    <row r="13" customFormat="false" ht="15" hidden="false" customHeight="false" outlineLevel="0" collapsed="false">
      <c r="B13" s="9" t="s">
        <v>66</v>
      </c>
      <c r="D13" s="9" t="s">
        <v>67</v>
      </c>
      <c r="F13" s="33" t="str">
        <f aca="false">B13</f>
        <v>Other income</v>
      </c>
    </row>
    <row r="14" customFormat="false" ht="15" hidden="false" customHeight="false" outlineLevel="0" collapsed="false">
      <c r="D14" s="9" t="s">
        <v>68</v>
      </c>
      <c r="F14" s="33" t="str">
        <f aca="false">D8</f>
        <v>Rent / Mortgage</v>
      </c>
    </row>
    <row r="15" customFormat="false" ht="15" hidden="false" customHeight="false" outlineLevel="0" collapsed="false">
      <c r="D15" s="9" t="s">
        <v>69</v>
      </c>
      <c r="F15" s="33" t="str">
        <f aca="false">D9</f>
        <v>Utilities</v>
      </c>
    </row>
    <row r="16" customFormat="false" ht="15" hidden="false" customHeight="false" outlineLevel="0" collapsed="false">
      <c r="D16" s="9" t="s">
        <v>70</v>
      </c>
      <c r="F16" s="33" t="str">
        <f aca="false">D10</f>
        <v>Groceries</v>
      </c>
    </row>
    <row r="17" customFormat="false" ht="15" hidden="false" customHeight="false" outlineLevel="0" collapsed="false">
      <c r="D17" s="9" t="s">
        <v>71</v>
      </c>
      <c r="F17" s="33" t="str">
        <f aca="false">D11</f>
        <v>Eating out</v>
      </c>
    </row>
    <row r="18" customFormat="false" ht="15" hidden="false" customHeight="false" outlineLevel="0" collapsed="false">
      <c r="D18" s="9" t="s">
        <v>72</v>
      </c>
      <c r="F18" s="33" t="str">
        <f aca="false">D12</f>
        <v>Transport</v>
      </c>
    </row>
    <row r="19" customFormat="false" ht="15" hidden="false" customHeight="false" outlineLevel="0" collapsed="false">
      <c r="D19" s="9" t="s">
        <v>73</v>
      </c>
      <c r="F19" s="33" t="str">
        <f aca="false">D13</f>
        <v>Insurance</v>
      </c>
    </row>
    <row r="20" customFormat="false" ht="15" hidden="false" customHeight="false" outlineLevel="0" collapsed="false">
      <c r="D20" s="9" t="s">
        <v>74</v>
      </c>
      <c r="F20" s="33" t="str">
        <f aca="false">D14</f>
        <v>Phone &amp; Internet</v>
      </c>
    </row>
    <row r="21" customFormat="false" ht="15" hidden="false" customHeight="false" outlineLevel="0" collapsed="false">
      <c r="D21" s="9" t="s">
        <v>75</v>
      </c>
      <c r="F21" s="33" t="str">
        <f aca="false">D15</f>
        <v>Subscriptions</v>
      </c>
    </row>
    <row r="22" customFormat="false" ht="15" hidden="false" customHeight="false" outlineLevel="0" collapsed="false">
      <c r="D22" s="9" t="s">
        <v>76</v>
      </c>
      <c r="F22" s="33" t="str">
        <f aca="false">D16</f>
        <v>Health</v>
      </c>
    </row>
    <row r="23" customFormat="false" ht="15" hidden="false" customHeight="false" outlineLevel="0" collapsed="false">
      <c r="D23" s="9" t="s">
        <v>77</v>
      </c>
      <c r="F23" s="33" t="str">
        <f aca="false">D17</f>
        <v>Shopping</v>
      </c>
    </row>
    <row r="24" customFormat="false" ht="15" hidden="false" customHeight="false" outlineLevel="0" collapsed="false">
      <c r="F24" s="33" t="str">
        <f aca="false">D18</f>
        <v>Entertainment</v>
      </c>
    </row>
    <row r="25" customFormat="false" ht="15" hidden="false" customHeight="false" outlineLevel="0" collapsed="false">
      <c r="F25" s="33" t="str">
        <f aca="false">D19</f>
        <v>Gifts &amp; Donations</v>
      </c>
    </row>
    <row r="26" customFormat="false" ht="15" hidden="false" customHeight="false" outlineLevel="0" collapsed="false">
      <c r="F26" s="33" t="str">
        <f aca="false">D20</f>
        <v>Savings</v>
      </c>
    </row>
    <row r="27" customFormat="false" ht="15" hidden="false" customHeight="false" outlineLevel="0" collapsed="false">
      <c r="F27" s="33" t="str">
        <f aca="false">D21</f>
        <v>Debt payments</v>
      </c>
    </row>
    <row r="28" customFormat="false" ht="15" hidden="false" customHeight="false" outlineLevel="0" collapsed="false">
      <c r="F28" s="33" t="str">
        <f aca="false">D22</f>
        <v>Personal care</v>
      </c>
    </row>
    <row r="29" customFormat="false" ht="15" hidden="false" customHeight="false" outlineLevel="0" collapsed="false">
      <c r="F29" s="33" t="str">
        <f aca="false">D23</f>
        <v>Miscellaneous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B632"/>
    <pageSetUpPr fitToPage="false"/>
  </sheetPr>
  <dimension ref="A1:H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24"/>
  </cols>
  <sheetData>
    <row r="1" customFormat="false" ht="6" hidden="false" customHeight="true" outlineLevel="0" collapsed="false">
      <c r="A1" s="1"/>
      <c r="B1" s="2"/>
      <c r="C1" s="3"/>
      <c r="D1" s="11"/>
      <c r="E1" s="1"/>
      <c r="F1" s="2"/>
      <c r="G1" s="3"/>
      <c r="H1" s="11"/>
    </row>
    <row r="2" customFormat="false" ht="31.5" hidden="false" customHeight="true" outlineLevel="0" collapsed="false">
      <c r="A2" s="4"/>
      <c r="B2" s="5" t="s">
        <v>78</v>
      </c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6" t="s">
        <v>79</v>
      </c>
      <c r="C3" s="4"/>
      <c r="D3" s="4"/>
      <c r="E3" s="4"/>
      <c r="F3" s="4"/>
      <c r="G3" s="4"/>
      <c r="H3" s="4"/>
    </row>
    <row r="5" customFormat="false" ht="21.75" hidden="false" customHeight="true" outlineLevel="0" collapsed="false">
      <c r="B5" s="17" t="s">
        <v>80</v>
      </c>
      <c r="C5" s="17" t="s">
        <v>81</v>
      </c>
      <c r="D5" s="17" t="s">
        <v>82</v>
      </c>
      <c r="E5" s="17" t="s">
        <v>33</v>
      </c>
      <c r="F5" s="17" t="s">
        <v>83</v>
      </c>
      <c r="G5" s="17" t="s">
        <v>84</v>
      </c>
    </row>
    <row r="6" customFormat="false" ht="15" hidden="false" customHeight="false" outlineLevel="0" collapsed="false">
      <c r="B6" s="34" t="n">
        <v>46023</v>
      </c>
      <c r="C6" s="9" t="s">
        <v>85</v>
      </c>
      <c r="D6" s="13" t="s">
        <v>16</v>
      </c>
      <c r="E6" s="9" t="s">
        <v>56</v>
      </c>
      <c r="F6" s="19" t="n">
        <v>3200</v>
      </c>
      <c r="G6" s="9"/>
    </row>
    <row r="7" customFormat="false" ht="15" hidden="false" customHeight="false" outlineLevel="0" collapsed="false">
      <c r="B7" s="34" t="n">
        <v>46024</v>
      </c>
      <c r="C7" s="9" t="s">
        <v>86</v>
      </c>
      <c r="D7" s="13" t="s">
        <v>87</v>
      </c>
      <c r="E7" s="9" t="s">
        <v>57</v>
      </c>
      <c r="F7" s="19" t="n">
        <v>1100</v>
      </c>
      <c r="G7" s="9"/>
    </row>
    <row r="8" customFormat="false" ht="15" hidden="false" customHeight="false" outlineLevel="0" collapsed="false">
      <c r="B8" s="34" t="n">
        <v>46027</v>
      </c>
      <c r="C8" s="9" t="s">
        <v>88</v>
      </c>
      <c r="D8" s="13" t="s">
        <v>87</v>
      </c>
      <c r="E8" s="9" t="s">
        <v>61</v>
      </c>
      <c r="F8" s="19" t="n">
        <v>86.4</v>
      </c>
      <c r="G8" s="9"/>
    </row>
    <row r="9" customFormat="false" ht="15" hidden="false" customHeight="false" outlineLevel="0" collapsed="false">
      <c r="B9" s="34" t="n">
        <v>46031</v>
      </c>
      <c r="C9" s="9" t="s">
        <v>89</v>
      </c>
      <c r="D9" s="13" t="s">
        <v>87</v>
      </c>
      <c r="E9" s="9" t="s">
        <v>63</v>
      </c>
      <c r="F9" s="19" t="n">
        <v>32.5</v>
      </c>
      <c r="G9" s="9"/>
    </row>
    <row r="10" customFormat="false" ht="15" hidden="false" customHeight="false" outlineLevel="0" collapsed="false">
      <c r="B10" s="34"/>
      <c r="C10" s="9"/>
      <c r="D10" s="13"/>
      <c r="E10" s="9"/>
      <c r="F10" s="19"/>
      <c r="G10" s="9"/>
    </row>
    <row r="11" customFormat="false" ht="15" hidden="false" customHeight="false" outlineLevel="0" collapsed="false">
      <c r="B11" s="34"/>
      <c r="C11" s="9"/>
      <c r="D11" s="13"/>
      <c r="E11" s="9"/>
      <c r="F11" s="19"/>
      <c r="G11" s="9"/>
    </row>
    <row r="12" customFormat="false" ht="15" hidden="false" customHeight="false" outlineLevel="0" collapsed="false">
      <c r="B12" s="34"/>
      <c r="C12" s="9"/>
      <c r="D12" s="13"/>
      <c r="E12" s="9"/>
      <c r="F12" s="19"/>
      <c r="G12" s="9"/>
    </row>
    <row r="13" customFormat="false" ht="15" hidden="false" customHeight="false" outlineLevel="0" collapsed="false">
      <c r="B13" s="34"/>
      <c r="C13" s="9"/>
      <c r="D13" s="13"/>
      <c r="E13" s="9"/>
      <c r="F13" s="19"/>
      <c r="G13" s="9"/>
    </row>
    <row r="14" customFormat="false" ht="15" hidden="false" customHeight="false" outlineLevel="0" collapsed="false">
      <c r="B14" s="34"/>
      <c r="C14" s="9"/>
      <c r="D14" s="13"/>
      <c r="E14" s="9"/>
      <c r="F14" s="19"/>
      <c r="G14" s="9"/>
    </row>
    <row r="15" customFormat="false" ht="15" hidden="false" customHeight="false" outlineLevel="0" collapsed="false">
      <c r="B15" s="34"/>
      <c r="C15" s="9"/>
      <c r="D15" s="13"/>
      <c r="E15" s="9"/>
      <c r="F15" s="19"/>
      <c r="G15" s="9"/>
    </row>
    <row r="16" customFormat="false" ht="15" hidden="false" customHeight="false" outlineLevel="0" collapsed="false">
      <c r="B16" s="34"/>
      <c r="C16" s="9"/>
      <c r="D16" s="13"/>
      <c r="E16" s="9"/>
      <c r="F16" s="19"/>
      <c r="G16" s="9"/>
    </row>
    <row r="17" customFormat="false" ht="15" hidden="false" customHeight="false" outlineLevel="0" collapsed="false">
      <c r="B17" s="34"/>
      <c r="C17" s="9"/>
      <c r="D17" s="13"/>
      <c r="E17" s="9"/>
      <c r="F17" s="19"/>
      <c r="G17" s="9"/>
    </row>
    <row r="18" customFormat="false" ht="15" hidden="false" customHeight="false" outlineLevel="0" collapsed="false">
      <c r="B18" s="34"/>
      <c r="C18" s="9"/>
      <c r="D18" s="13"/>
      <c r="E18" s="9"/>
      <c r="F18" s="19"/>
      <c r="G18" s="9"/>
    </row>
    <row r="19" customFormat="false" ht="15" hidden="false" customHeight="false" outlineLevel="0" collapsed="false">
      <c r="B19" s="34"/>
      <c r="C19" s="9"/>
      <c r="D19" s="13"/>
      <c r="E19" s="9"/>
      <c r="F19" s="19"/>
      <c r="G19" s="9"/>
    </row>
    <row r="20" customFormat="false" ht="15" hidden="false" customHeight="false" outlineLevel="0" collapsed="false">
      <c r="B20" s="34"/>
      <c r="C20" s="9"/>
      <c r="D20" s="13"/>
      <c r="E20" s="9"/>
      <c r="F20" s="19"/>
      <c r="G20" s="9"/>
    </row>
    <row r="21" customFormat="false" ht="15" hidden="false" customHeight="false" outlineLevel="0" collapsed="false">
      <c r="B21" s="34"/>
      <c r="C21" s="9"/>
      <c r="D21" s="13"/>
      <c r="E21" s="9"/>
      <c r="F21" s="19"/>
      <c r="G21" s="9"/>
    </row>
    <row r="22" customFormat="false" ht="15" hidden="false" customHeight="false" outlineLevel="0" collapsed="false">
      <c r="B22" s="34"/>
      <c r="C22" s="9"/>
      <c r="D22" s="13"/>
      <c r="E22" s="9"/>
      <c r="F22" s="19"/>
      <c r="G22" s="9"/>
    </row>
    <row r="23" customFormat="false" ht="15" hidden="false" customHeight="false" outlineLevel="0" collapsed="false">
      <c r="B23" s="34"/>
      <c r="C23" s="9"/>
      <c r="D23" s="13"/>
      <c r="E23" s="9"/>
      <c r="F23" s="19"/>
      <c r="G23" s="9"/>
    </row>
    <row r="24" customFormat="false" ht="15" hidden="false" customHeight="false" outlineLevel="0" collapsed="false">
      <c r="B24" s="34"/>
      <c r="C24" s="9"/>
      <c r="D24" s="13"/>
      <c r="E24" s="9"/>
      <c r="F24" s="19"/>
      <c r="G24" s="9"/>
    </row>
    <row r="25" customFormat="false" ht="15" hidden="false" customHeight="false" outlineLevel="0" collapsed="false">
      <c r="B25" s="34"/>
      <c r="C25" s="9"/>
      <c r="D25" s="13"/>
      <c r="E25" s="9"/>
      <c r="F25" s="19"/>
      <c r="G25" s="9"/>
    </row>
    <row r="26" customFormat="false" ht="15" hidden="false" customHeight="false" outlineLevel="0" collapsed="false">
      <c r="B26" s="34"/>
      <c r="C26" s="9"/>
      <c r="D26" s="13"/>
      <c r="E26" s="9"/>
      <c r="F26" s="19"/>
      <c r="G26" s="9"/>
    </row>
    <row r="27" customFormat="false" ht="15" hidden="false" customHeight="false" outlineLevel="0" collapsed="false">
      <c r="B27" s="34"/>
      <c r="C27" s="9"/>
      <c r="D27" s="13"/>
      <c r="E27" s="9"/>
      <c r="F27" s="19"/>
      <c r="G27" s="9"/>
    </row>
    <row r="28" customFormat="false" ht="15" hidden="false" customHeight="false" outlineLevel="0" collapsed="false">
      <c r="B28" s="34"/>
      <c r="C28" s="9"/>
      <c r="D28" s="13"/>
      <c r="E28" s="9"/>
      <c r="F28" s="19"/>
      <c r="G28" s="9"/>
    </row>
    <row r="29" customFormat="false" ht="15" hidden="false" customHeight="false" outlineLevel="0" collapsed="false">
      <c r="B29" s="34"/>
      <c r="C29" s="9"/>
      <c r="D29" s="13"/>
      <c r="E29" s="9"/>
      <c r="F29" s="19"/>
      <c r="G29" s="9"/>
    </row>
    <row r="30" customFormat="false" ht="15" hidden="false" customHeight="false" outlineLevel="0" collapsed="false">
      <c r="B30" s="34"/>
      <c r="C30" s="9"/>
      <c r="D30" s="13"/>
      <c r="E30" s="9"/>
      <c r="F30" s="19"/>
      <c r="G30" s="9"/>
    </row>
    <row r="31" customFormat="false" ht="15" hidden="false" customHeight="false" outlineLevel="0" collapsed="false">
      <c r="B31" s="34"/>
      <c r="C31" s="9"/>
      <c r="D31" s="13"/>
      <c r="E31" s="9"/>
      <c r="F31" s="19"/>
      <c r="G31" s="9"/>
    </row>
    <row r="32" customFormat="false" ht="15" hidden="false" customHeight="false" outlineLevel="0" collapsed="false">
      <c r="B32" s="34"/>
      <c r="C32" s="9"/>
      <c r="D32" s="13"/>
      <c r="E32" s="9"/>
      <c r="F32" s="19"/>
      <c r="G32" s="9"/>
    </row>
    <row r="33" customFormat="false" ht="15" hidden="false" customHeight="false" outlineLevel="0" collapsed="false">
      <c r="B33" s="34"/>
      <c r="C33" s="9"/>
      <c r="D33" s="13"/>
      <c r="E33" s="9"/>
      <c r="F33" s="19"/>
      <c r="G33" s="9"/>
    </row>
    <row r="34" customFormat="false" ht="15" hidden="false" customHeight="false" outlineLevel="0" collapsed="false">
      <c r="B34" s="34"/>
      <c r="C34" s="9"/>
      <c r="D34" s="13"/>
      <c r="E34" s="9"/>
      <c r="F34" s="19"/>
      <c r="G34" s="9"/>
    </row>
    <row r="35" customFormat="false" ht="15" hidden="false" customHeight="false" outlineLevel="0" collapsed="false">
      <c r="B35" s="34"/>
      <c r="C35" s="9"/>
      <c r="D35" s="13"/>
      <c r="E35" s="9"/>
      <c r="F35" s="19"/>
      <c r="G35" s="9"/>
    </row>
    <row r="36" customFormat="false" ht="15" hidden="false" customHeight="false" outlineLevel="0" collapsed="false">
      <c r="B36" s="34"/>
      <c r="C36" s="9"/>
      <c r="D36" s="13"/>
      <c r="E36" s="9"/>
      <c r="F36" s="19"/>
      <c r="G36" s="9"/>
    </row>
    <row r="37" customFormat="false" ht="15" hidden="false" customHeight="false" outlineLevel="0" collapsed="false">
      <c r="B37" s="34"/>
      <c r="C37" s="9"/>
      <c r="D37" s="13"/>
      <c r="E37" s="9"/>
      <c r="F37" s="19"/>
      <c r="G37" s="9"/>
    </row>
    <row r="38" customFormat="false" ht="15" hidden="false" customHeight="false" outlineLevel="0" collapsed="false">
      <c r="B38" s="34"/>
      <c r="C38" s="9"/>
      <c r="D38" s="13"/>
      <c r="E38" s="9"/>
      <c r="F38" s="19"/>
      <c r="G38" s="9"/>
    </row>
    <row r="39" customFormat="false" ht="15" hidden="false" customHeight="false" outlineLevel="0" collapsed="false">
      <c r="B39" s="34"/>
      <c r="C39" s="9"/>
      <c r="D39" s="13"/>
      <c r="E39" s="9"/>
      <c r="F39" s="19"/>
      <c r="G39" s="9"/>
    </row>
    <row r="40" customFormat="false" ht="15" hidden="false" customHeight="false" outlineLevel="0" collapsed="false">
      <c r="B40" s="34"/>
      <c r="C40" s="9"/>
      <c r="D40" s="13"/>
      <c r="E40" s="9"/>
      <c r="F40" s="19"/>
      <c r="G40" s="9"/>
    </row>
    <row r="41" customFormat="false" ht="15" hidden="false" customHeight="false" outlineLevel="0" collapsed="false">
      <c r="B41" s="34"/>
      <c r="C41" s="9"/>
      <c r="D41" s="13"/>
      <c r="E41" s="9"/>
      <c r="F41" s="19"/>
      <c r="G41" s="9"/>
    </row>
    <row r="42" customFormat="false" ht="15" hidden="false" customHeight="false" outlineLevel="0" collapsed="false">
      <c r="B42" s="34"/>
      <c r="C42" s="9"/>
      <c r="D42" s="13"/>
      <c r="E42" s="9"/>
      <c r="F42" s="19"/>
      <c r="G42" s="9"/>
    </row>
    <row r="43" customFormat="false" ht="15" hidden="false" customHeight="false" outlineLevel="0" collapsed="false">
      <c r="B43" s="34"/>
      <c r="C43" s="9"/>
      <c r="D43" s="13"/>
      <c r="E43" s="9"/>
      <c r="F43" s="19"/>
      <c r="G43" s="9"/>
    </row>
    <row r="44" customFormat="false" ht="15" hidden="false" customHeight="false" outlineLevel="0" collapsed="false">
      <c r="B44" s="34"/>
      <c r="C44" s="9"/>
      <c r="D44" s="13"/>
      <c r="E44" s="9"/>
      <c r="F44" s="19"/>
      <c r="G44" s="9"/>
    </row>
    <row r="45" customFormat="false" ht="15" hidden="false" customHeight="false" outlineLevel="0" collapsed="false">
      <c r="B45" s="34"/>
      <c r="C45" s="9"/>
      <c r="D45" s="13"/>
      <c r="E45" s="9"/>
      <c r="F45" s="19"/>
      <c r="G45" s="9"/>
    </row>
    <row r="46" customFormat="false" ht="15" hidden="false" customHeight="false" outlineLevel="0" collapsed="false">
      <c r="B46" s="34"/>
      <c r="C46" s="9"/>
      <c r="D46" s="13"/>
      <c r="E46" s="9"/>
      <c r="F46" s="19"/>
      <c r="G46" s="9"/>
    </row>
    <row r="47" customFormat="false" ht="15" hidden="false" customHeight="false" outlineLevel="0" collapsed="false">
      <c r="B47" s="34"/>
      <c r="C47" s="9"/>
      <c r="D47" s="13"/>
      <c r="E47" s="9"/>
      <c r="F47" s="19"/>
      <c r="G47" s="9"/>
    </row>
    <row r="48" customFormat="false" ht="15" hidden="false" customHeight="false" outlineLevel="0" collapsed="false">
      <c r="B48" s="34"/>
      <c r="C48" s="9"/>
      <c r="D48" s="13"/>
      <c r="E48" s="9"/>
      <c r="F48" s="19"/>
      <c r="G48" s="9"/>
    </row>
    <row r="49" customFormat="false" ht="15" hidden="false" customHeight="false" outlineLevel="0" collapsed="false">
      <c r="B49" s="34"/>
      <c r="C49" s="9"/>
      <c r="D49" s="13"/>
      <c r="E49" s="9"/>
      <c r="F49" s="19"/>
      <c r="G49" s="9"/>
    </row>
    <row r="50" customFormat="false" ht="15" hidden="false" customHeight="false" outlineLevel="0" collapsed="false">
      <c r="B50" s="34"/>
      <c r="C50" s="9"/>
      <c r="D50" s="13"/>
      <c r="E50" s="9"/>
      <c r="F50" s="19"/>
      <c r="G50" s="9"/>
    </row>
    <row r="51" customFormat="false" ht="15" hidden="false" customHeight="false" outlineLevel="0" collapsed="false">
      <c r="B51" s="34"/>
      <c r="C51" s="9"/>
      <c r="D51" s="13"/>
      <c r="E51" s="9"/>
      <c r="F51" s="19"/>
      <c r="G51" s="9"/>
    </row>
    <row r="52" customFormat="false" ht="15" hidden="false" customHeight="false" outlineLevel="0" collapsed="false">
      <c r="B52" s="34"/>
      <c r="C52" s="9"/>
      <c r="D52" s="13"/>
      <c r="E52" s="9"/>
      <c r="F52" s="19"/>
      <c r="G52" s="9"/>
    </row>
    <row r="53" customFormat="false" ht="15" hidden="false" customHeight="false" outlineLevel="0" collapsed="false">
      <c r="B53" s="34"/>
      <c r="C53" s="9"/>
      <c r="D53" s="13"/>
      <c r="E53" s="9"/>
      <c r="F53" s="19"/>
      <c r="G53" s="9"/>
    </row>
    <row r="54" customFormat="false" ht="15" hidden="false" customHeight="false" outlineLevel="0" collapsed="false">
      <c r="B54" s="34"/>
      <c r="C54" s="9"/>
      <c r="D54" s="13"/>
      <c r="E54" s="9"/>
      <c r="F54" s="19"/>
      <c r="G54" s="9"/>
    </row>
    <row r="55" customFormat="false" ht="15" hidden="false" customHeight="false" outlineLevel="0" collapsed="false">
      <c r="B55" s="34"/>
      <c r="C55" s="9"/>
      <c r="D55" s="13"/>
      <c r="E55" s="9"/>
      <c r="F55" s="19"/>
      <c r="G55" s="9"/>
    </row>
    <row r="56" customFormat="false" ht="15" hidden="false" customHeight="false" outlineLevel="0" collapsed="false">
      <c r="B56" s="34"/>
      <c r="C56" s="9"/>
      <c r="D56" s="13"/>
      <c r="E56" s="9"/>
      <c r="F56" s="19"/>
      <c r="G56" s="9"/>
    </row>
    <row r="57" customFormat="false" ht="15" hidden="false" customHeight="false" outlineLevel="0" collapsed="false">
      <c r="B57" s="34"/>
      <c r="C57" s="9"/>
      <c r="D57" s="13"/>
      <c r="E57" s="9"/>
      <c r="F57" s="19"/>
      <c r="G57" s="9"/>
    </row>
    <row r="58" customFormat="false" ht="15" hidden="false" customHeight="false" outlineLevel="0" collapsed="false">
      <c r="B58" s="34"/>
      <c r="C58" s="9"/>
      <c r="D58" s="13"/>
      <c r="E58" s="9"/>
      <c r="F58" s="19"/>
      <c r="G58" s="9"/>
    </row>
    <row r="59" customFormat="false" ht="15" hidden="false" customHeight="false" outlineLevel="0" collapsed="false">
      <c r="B59" s="34"/>
      <c r="C59" s="9"/>
      <c r="D59" s="13"/>
      <c r="E59" s="9"/>
      <c r="F59" s="19"/>
      <c r="G59" s="9"/>
    </row>
    <row r="60" customFormat="false" ht="15" hidden="false" customHeight="false" outlineLevel="0" collapsed="false">
      <c r="B60" s="34"/>
      <c r="C60" s="9"/>
      <c r="D60" s="13"/>
      <c r="E60" s="9"/>
      <c r="F60" s="19"/>
      <c r="G60" s="9"/>
    </row>
    <row r="61" customFormat="false" ht="15" hidden="false" customHeight="false" outlineLevel="0" collapsed="false">
      <c r="B61" s="34"/>
      <c r="C61" s="9"/>
      <c r="D61" s="13"/>
      <c r="E61" s="9"/>
      <c r="F61" s="19"/>
      <c r="G61" s="9"/>
    </row>
    <row r="62" customFormat="false" ht="15" hidden="false" customHeight="false" outlineLevel="0" collapsed="false">
      <c r="B62" s="34"/>
      <c r="C62" s="9"/>
      <c r="D62" s="13"/>
      <c r="E62" s="9"/>
      <c r="F62" s="19"/>
      <c r="G62" s="9"/>
    </row>
    <row r="63" customFormat="false" ht="15" hidden="false" customHeight="false" outlineLevel="0" collapsed="false">
      <c r="B63" s="34"/>
      <c r="C63" s="9"/>
      <c r="D63" s="13"/>
      <c r="E63" s="9"/>
      <c r="F63" s="19"/>
      <c r="G63" s="9"/>
    </row>
    <row r="64" customFormat="false" ht="15" hidden="false" customHeight="false" outlineLevel="0" collapsed="false">
      <c r="B64" s="34"/>
      <c r="C64" s="9"/>
      <c r="D64" s="13"/>
      <c r="E64" s="9"/>
      <c r="F64" s="19"/>
      <c r="G64" s="9"/>
    </row>
    <row r="65" customFormat="false" ht="15" hidden="false" customHeight="false" outlineLevel="0" collapsed="false">
      <c r="B65" s="34"/>
      <c r="C65" s="9"/>
      <c r="D65" s="13"/>
      <c r="E65" s="9"/>
      <c r="F65" s="19"/>
      <c r="G65" s="9"/>
    </row>
    <row r="66" customFormat="false" ht="15" hidden="false" customHeight="false" outlineLevel="0" collapsed="false">
      <c r="B66" s="34"/>
      <c r="C66" s="9"/>
      <c r="D66" s="13"/>
      <c r="E66" s="9"/>
      <c r="F66" s="19"/>
      <c r="G66" s="9"/>
    </row>
    <row r="67" customFormat="false" ht="15" hidden="false" customHeight="false" outlineLevel="0" collapsed="false">
      <c r="B67" s="34"/>
      <c r="C67" s="9"/>
      <c r="D67" s="13"/>
      <c r="E67" s="9"/>
      <c r="F67" s="19"/>
      <c r="G67" s="9"/>
    </row>
    <row r="68" customFormat="false" ht="15" hidden="false" customHeight="false" outlineLevel="0" collapsed="false">
      <c r="B68" s="34"/>
      <c r="C68" s="9"/>
      <c r="D68" s="13"/>
      <c r="E68" s="9"/>
      <c r="F68" s="19"/>
      <c r="G68" s="9"/>
    </row>
    <row r="69" customFormat="false" ht="15" hidden="false" customHeight="false" outlineLevel="0" collapsed="false">
      <c r="B69" s="34"/>
      <c r="C69" s="9"/>
      <c r="D69" s="13"/>
      <c r="E69" s="9"/>
      <c r="F69" s="19"/>
      <c r="G69" s="9"/>
    </row>
    <row r="70" customFormat="false" ht="15" hidden="false" customHeight="false" outlineLevel="0" collapsed="false">
      <c r="B70" s="34"/>
      <c r="C70" s="9"/>
      <c r="D70" s="13"/>
      <c r="E70" s="9"/>
      <c r="F70" s="19"/>
      <c r="G70" s="9"/>
    </row>
    <row r="71" customFormat="false" ht="15" hidden="false" customHeight="false" outlineLevel="0" collapsed="false">
      <c r="B71" s="34"/>
      <c r="C71" s="9"/>
      <c r="D71" s="13"/>
      <c r="E71" s="9"/>
      <c r="F71" s="19"/>
      <c r="G71" s="9"/>
    </row>
    <row r="72" customFormat="false" ht="15" hidden="false" customHeight="false" outlineLevel="0" collapsed="false">
      <c r="B72" s="34"/>
      <c r="C72" s="9"/>
      <c r="D72" s="13"/>
      <c r="E72" s="9"/>
      <c r="F72" s="19"/>
      <c r="G72" s="9"/>
    </row>
    <row r="73" customFormat="false" ht="15" hidden="false" customHeight="false" outlineLevel="0" collapsed="false">
      <c r="B73" s="34"/>
      <c r="C73" s="9"/>
      <c r="D73" s="13"/>
      <c r="E73" s="9"/>
      <c r="F73" s="19"/>
      <c r="G73" s="9"/>
    </row>
    <row r="74" customFormat="false" ht="15" hidden="false" customHeight="false" outlineLevel="0" collapsed="false">
      <c r="B74" s="34"/>
      <c r="C74" s="9"/>
      <c r="D74" s="13"/>
      <c r="E74" s="9"/>
      <c r="F74" s="19"/>
      <c r="G74" s="9"/>
    </row>
    <row r="75" customFormat="false" ht="15" hidden="false" customHeight="false" outlineLevel="0" collapsed="false">
      <c r="B75" s="34"/>
      <c r="C75" s="9"/>
      <c r="D75" s="13"/>
      <c r="E75" s="9"/>
      <c r="F75" s="19"/>
      <c r="G75" s="9"/>
    </row>
    <row r="76" customFormat="false" ht="15" hidden="false" customHeight="false" outlineLevel="0" collapsed="false">
      <c r="B76" s="34"/>
      <c r="C76" s="9"/>
      <c r="D76" s="13"/>
      <c r="E76" s="9"/>
      <c r="F76" s="19"/>
      <c r="G76" s="9"/>
    </row>
    <row r="77" customFormat="false" ht="15" hidden="false" customHeight="false" outlineLevel="0" collapsed="false">
      <c r="B77" s="34"/>
      <c r="C77" s="9"/>
      <c r="D77" s="13"/>
      <c r="E77" s="9"/>
      <c r="F77" s="19"/>
      <c r="G77" s="9"/>
    </row>
    <row r="78" customFormat="false" ht="15" hidden="false" customHeight="false" outlineLevel="0" collapsed="false">
      <c r="B78" s="34"/>
      <c r="C78" s="9"/>
      <c r="D78" s="13"/>
      <c r="E78" s="9"/>
      <c r="F78" s="19"/>
      <c r="G78" s="9"/>
    </row>
    <row r="79" customFormat="false" ht="15" hidden="false" customHeight="false" outlineLevel="0" collapsed="false">
      <c r="B79" s="34"/>
      <c r="C79" s="9"/>
      <c r="D79" s="13"/>
      <c r="E79" s="9"/>
      <c r="F79" s="19"/>
      <c r="G79" s="9"/>
    </row>
    <row r="80" customFormat="false" ht="15" hidden="false" customHeight="false" outlineLevel="0" collapsed="false">
      <c r="B80" s="34"/>
      <c r="C80" s="9"/>
      <c r="D80" s="13"/>
      <c r="E80" s="9"/>
      <c r="F80" s="19"/>
      <c r="G80" s="9"/>
    </row>
    <row r="81" customFormat="false" ht="15" hidden="false" customHeight="false" outlineLevel="0" collapsed="false">
      <c r="B81" s="34"/>
      <c r="C81" s="9"/>
      <c r="D81" s="13"/>
      <c r="E81" s="9"/>
      <c r="F81" s="19"/>
      <c r="G81" s="9"/>
    </row>
    <row r="82" customFormat="false" ht="15" hidden="false" customHeight="false" outlineLevel="0" collapsed="false">
      <c r="B82" s="34"/>
      <c r="C82" s="9"/>
      <c r="D82" s="13"/>
      <c r="E82" s="9"/>
      <c r="F82" s="19"/>
      <c r="G82" s="9"/>
    </row>
    <row r="83" customFormat="false" ht="15" hidden="false" customHeight="false" outlineLevel="0" collapsed="false">
      <c r="B83" s="34"/>
      <c r="C83" s="9"/>
      <c r="D83" s="13"/>
      <c r="E83" s="9"/>
      <c r="F83" s="19"/>
      <c r="G83" s="9"/>
    </row>
    <row r="84" customFormat="false" ht="15" hidden="false" customHeight="false" outlineLevel="0" collapsed="false">
      <c r="B84" s="34"/>
      <c r="C84" s="9"/>
      <c r="D84" s="13"/>
      <c r="E84" s="9"/>
      <c r="F84" s="19"/>
      <c r="G84" s="9"/>
    </row>
    <row r="85" customFormat="false" ht="15" hidden="false" customHeight="false" outlineLevel="0" collapsed="false">
      <c r="B85" s="34"/>
      <c r="C85" s="9"/>
      <c r="D85" s="13"/>
      <c r="E85" s="9"/>
      <c r="F85" s="19"/>
      <c r="G85" s="9"/>
    </row>
    <row r="86" customFormat="false" ht="15" hidden="false" customHeight="false" outlineLevel="0" collapsed="false">
      <c r="B86" s="34"/>
      <c r="C86" s="9"/>
      <c r="D86" s="13"/>
      <c r="E86" s="9"/>
      <c r="F86" s="19"/>
      <c r="G86" s="9"/>
    </row>
    <row r="87" customFormat="false" ht="15" hidden="false" customHeight="false" outlineLevel="0" collapsed="false">
      <c r="B87" s="34"/>
      <c r="C87" s="9"/>
      <c r="D87" s="13"/>
      <c r="E87" s="9"/>
      <c r="F87" s="19"/>
      <c r="G87" s="9"/>
    </row>
    <row r="88" customFormat="false" ht="15" hidden="false" customHeight="false" outlineLevel="0" collapsed="false">
      <c r="B88" s="34"/>
      <c r="C88" s="9"/>
      <c r="D88" s="13"/>
      <c r="E88" s="9"/>
      <c r="F88" s="19"/>
      <c r="G88" s="9"/>
    </row>
    <row r="89" customFormat="false" ht="15" hidden="false" customHeight="false" outlineLevel="0" collapsed="false">
      <c r="B89" s="34"/>
      <c r="C89" s="9"/>
      <c r="D89" s="13"/>
      <c r="E89" s="9"/>
      <c r="F89" s="19"/>
      <c r="G89" s="9"/>
    </row>
    <row r="90" customFormat="false" ht="15" hidden="false" customHeight="false" outlineLevel="0" collapsed="false">
      <c r="B90" s="34"/>
      <c r="C90" s="9"/>
      <c r="D90" s="13"/>
      <c r="E90" s="9"/>
      <c r="F90" s="19"/>
      <c r="G90" s="9"/>
    </row>
    <row r="91" customFormat="false" ht="15" hidden="false" customHeight="false" outlineLevel="0" collapsed="false">
      <c r="B91" s="34"/>
      <c r="C91" s="9"/>
      <c r="D91" s="13"/>
      <c r="E91" s="9"/>
      <c r="F91" s="19"/>
      <c r="G91" s="9"/>
    </row>
    <row r="92" customFormat="false" ht="15" hidden="false" customHeight="false" outlineLevel="0" collapsed="false">
      <c r="B92" s="34"/>
      <c r="C92" s="9"/>
      <c r="D92" s="13"/>
      <c r="E92" s="9"/>
      <c r="F92" s="19"/>
      <c r="G92" s="9"/>
    </row>
    <row r="93" customFormat="false" ht="15" hidden="false" customHeight="false" outlineLevel="0" collapsed="false">
      <c r="B93" s="34"/>
      <c r="C93" s="9"/>
      <c r="D93" s="13"/>
      <c r="E93" s="9"/>
      <c r="F93" s="19"/>
      <c r="G93" s="9"/>
    </row>
    <row r="94" customFormat="false" ht="15" hidden="false" customHeight="false" outlineLevel="0" collapsed="false">
      <c r="B94" s="34"/>
      <c r="C94" s="9"/>
      <c r="D94" s="13"/>
      <c r="E94" s="9"/>
      <c r="F94" s="19"/>
      <c r="G94" s="9"/>
    </row>
    <row r="95" customFormat="false" ht="15" hidden="false" customHeight="false" outlineLevel="0" collapsed="false">
      <c r="B95" s="34"/>
      <c r="C95" s="9"/>
      <c r="D95" s="13"/>
      <c r="E95" s="9"/>
      <c r="F95" s="19"/>
      <c r="G95" s="9"/>
    </row>
    <row r="96" customFormat="false" ht="15" hidden="false" customHeight="false" outlineLevel="0" collapsed="false">
      <c r="B96" s="34"/>
      <c r="C96" s="9"/>
      <c r="D96" s="13"/>
      <c r="E96" s="9"/>
      <c r="F96" s="19"/>
      <c r="G96" s="9"/>
    </row>
    <row r="97" customFormat="false" ht="15" hidden="false" customHeight="false" outlineLevel="0" collapsed="false">
      <c r="B97" s="34"/>
      <c r="C97" s="9"/>
      <c r="D97" s="13"/>
      <c r="E97" s="9"/>
      <c r="F97" s="19"/>
      <c r="G97" s="9"/>
    </row>
    <row r="98" customFormat="false" ht="15" hidden="false" customHeight="false" outlineLevel="0" collapsed="false">
      <c r="B98" s="34"/>
      <c r="C98" s="9"/>
      <c r="D98" s="13"/>
      <c r="E98" s="9"/>
      <c r="F98" s="19"/>
      <c r="G98" s="9"/>
    </row>
    <row r="99" customFormat="false" ht="15" hidden="false" customHeight="false" outlineLevel="0" collapsed="false">
      <c r="B99" s="34"/>
      <c r="C99" s="9"/>
      <c r="D99" s="13"/>
      <c r="E99" s="9"/>
      <c r="F99" s="19"/>
      <c r="G99" s="9"/>
    </row>
    <row r="100" customFormat="false" ht="15" hidden="false" customHeight="false" outlineLevel="0" collapsed="false">
      <c r="B100" s="34"/>
      <c r="C100" s="9"/>
      <c r="D100" s="13"/>
      <c r="E100" s="9"/>
      <c r="F100" s="19"/>
      <c r="G100" s="9"/>
    </row>
    <row r="101" customFormat="false" ht="15" hidden="false" customHeight="false" outlineLevel="0" collapsed="false">
      <c r="B101" s="34"/>
      <c r="C101" s="9"/>
      <c r="D101" s="13"/>
      <c r="E101" s="9"/>
      <c r="F101" s="19"/>
      <c r="G101" s="9"/>
    </row>
    <row r="102" customFormat="false" ht="15" hidden="false" customHeight="false" outlineLevel="0" collapsed="false">
      <c r="B102" s="34"/>
      <c r="C102" s="9"/>
      <c r="D102" s="13"/>
      <c r="E102" s="9"/>
      <c r="F102" s="19"/>
      <c r="G102" s="9"/>
    </row>
    <row r="103" customFormat="false" ht="15" hidden="false" customHeight="false" outlineLevel="0" collapsed="false">
      <c r="B103" s="34"/>
      <c r="C103" s="9"/>
      <c r="D103" s="13"/>
      <c r="E103" s="9"/>
      <c r="F103" s="19"/>
      <c r="G103" s="9"/>
    </row>
    <row r="104" customFormat="false" ht="15" hidden="false" customHeight="false" outlineLevel="0" collapsed="false">
      <c r="B104" s="34"/>
      <c r="C104" s="9"/>
      <c r="D104" s="13"/>
      <c r="E104" s="9"/>
      <c r="F104" s="19"/>
      <c r="G104" s="9"/>
    </row>
    <row r="105" customFormat="false" ht="15" hidden="false" customHeight="false" outlineLevel="0" collapsed="false">
      <c r="B105" s="34"/>
      <c r="C105" s="9"/>
      <c r="D105" s="13"/>
      <c r="E105" s="9"/>
      <c r="F105" s="19"/>
      <c r="G105" s="9"/>
    </row>
    <row r="106" customFormat="false" ht="15" hidden="false" customHeight="false" outlineLevel="0" collapsed="false">
      <c r="B106" s="34"/>
      <c r="C106" s="9"/>
      <c r="D106" s="13"/>
      <c r="E106" s="9"/>
      <c r="F106" s="19"/>
      <c r="G106" s="9"/>
    </row>
    <row r="107" customFormat="false" ht="15" hidden="false" customHeight="false" outlineLevel="0" collapsed="false">
      <c r="B107" s="34"/>
      <c r="C107" s="9"/>
      <c r="D107" s="13"/>
      <c r="E107" s="9"/>
      <c r="F107" s="19"/>
      <c r="G107" s="9"/>
    </row>
    <row r="108" customFormat="false" ht="15" hidden="false" customHeight="false" outlineLevel="0" collapsed="false">
      <c r="B108" s="34"/>
      <c r="C108" s="9"/>
      <c r="D108" s="13"/>
      <c r="E108" s="9"/>
      <c r="F108" s="19"/>
      <c r="G108" s="9"/>
    </row>
    <row r="109" customFormat="false" ht="15" hidden="false" customHeight="false" outlineLevel="0" collapsed="false">
      <c r="B109" s="34"/>
      <c r="C109" s="9"/>
      <c r="D109" s="13"/>
      <c r="E109" s="9"/>
      <c r="F109" s="19"/>
      <c r="G109" s="9"/>
    </row>
    <row r="110" customFormat="false" ht="15" hidden="false" customHeight="false" outlineLevel="0" collapsed="false">
      <c r="B110" s="34"/>
      <c r="C110" s="9"/>
      <c r="D110" s="13"/>
      <c r="E110" s="9"/>
      <c r="F110" s="19"/>
      <c r="G110" s="9"/>
    </row>
    <row r="111" customFormat="false" ht="15" hidden="false" customHeight="false" outlineLevel="0" collapsed="false">
      <c r="B111" s="34"/>
      <c r="C111" s="9"/>
      <c r="D111" s="13"/>
      <c r="E111" s="9"/>
      <c r="F111" s="19"/>
      <c r="G111" s="9"/>
    </row>
    <row r="112" customFormat="false" ht="15" hidden="false" customHeight="false" outlineLevel="0" collapsed="false">
      <c r="B112" s="34"/>
      <c r="C112" s="9"/>
      <c r="D112" s="13"/>
      <c r="E112" s="9"/>
      <c r="F112" s="19"/>
      <c r="G112" s="9"/>
    </row>
    <row r="113" customFormat="false" ht="15" hidden="false" customHeight="false" outlineLevel="0" collapsed="false">
      <c r="B113" s="34"/>
      <c r="C113" s="9"/>
      <c r="D113" s="13"/>
      <c r="E113" s="9"/>
      <c r="F113" s="19"/>
      <c r="G113" s="9"/>
    </row>
    <row r="114" customFormat="false" ht="15" hidden="false" customHeight="false" outlineLevel="0" collapsed="false">
      <c r="B114" s="34"/>
      <c r="C114" s="9"/>
      <c r="D114" s="13"/>
      <c r="E114" s="9"/>
      <c r="F114" s="19"/>
      <c r="G114" s="9"/>
    </row>
    <row r="115" customFormat="false" ht="15" hidden="false" customHeight="false" outlineLevel="0" collapsed="false">
      <c r="B115" s="34"/>
      <c r="C115" s="9"/>
      <c r="D115" s="13"/>
      <c r="E115" s="9"/>
      <c r="F115" s="19"/>
      <c r="G115" s="9"/>
    </row>
    <row r="116" customFormat="false" ht="15" hidden="false" customHeight="false" outlineLevel="0" collapsed="false">
      <c r="B116" s="34"/>
      <c r="C116" s="9"/>
      <c r="D116" s="13"/>
      <c r="E116" s="9"/>
      <c r="F116" s="19"/>
      <c r="G116" s="9"/>
    </row>
    <row r="117" customFormat="false" ht="15" hidden="false" customHeight="false" outlineLevel="0" collapsed="false">
      <c r="B117" s="34"/>
      <c r="C117" s="9"/>
      <c r="D117" s="13"/>
      <c r="E117" s="9"/>
      <c r="F117" s="19"/>
      <c r="G117" s="9"/>
    </row>
    <row r="118" customFormat="false" ht="15" hidden="false" customHeight="false" outlineLevel="0" collapsed="false">
      <c r="B118" s="34"/>
      <c r="C118" s="9"/>
      <c r="D118" s="13"/>
      <c r="E118" s="9"/>
      <c r="F118" s="19"/>
      <c r="G118" s="9"/>
    </row>
    <row r="119" customFormat="false" ht="15" hidden="false" customHeight="false" outlineLevel="0" collapsed="false">
      <c r="B119" s="34"/>
      <c r="C119" s="9"/>
      <c r="D119" s="13"/>
      <c r="E119" s="9"/>
      <c r="F119" s="19"/>
      <c r="G119" s="9"/>
    </row>
    <row r="120" customFormat="false" ht="15" hidden="false" customHeight="false" outlineLevel="0" collapsed="false">
      <c r="B120" s="34"/>
      <c r="C120" s="9"/>
      <c r="D120" s="13"/>
      <c r="E120" s="9"/>
      <c r="F120" s="19"/>
      <c r="G120" s="9"/>
    </row>
    <row r="121" customFormat="false" ht="15" hidden="false" customHeight="false" outlineLevel="0" collapsed="false">
      <c r="B121" s="34"/>
      <c r="C121" s="9"/>
      <c r="D121" s="13"/>
      <c r="E121" s="9"/>
      <c r="F121" s="19"/>
      <c r="G121" s="9"/>
    </row>
    <row r="122" customFormat="false" ht="15" hidden="false" customHeight="false" outlineLevel="0" collapsed="false">
      <c r="B122" s="34"/>
      <c r="C122" s="9"/>
      <c r="D122" s="13"/>
      <c r="E122" s="9"/>
      <c r="F122" s="19"/>
      <c r="G122" s="9"/>
    </row>
    <row r="123" customFormat="false" ht="15" hidden="false" customHeight="false" outlineLevel="0" collapsed="false">
      <c r="B123" s="34"/>
      <c r="C123" s="9"/>
      <c r="D123" s="13"/>
      <c r="E123" s="9"/>
      <c r="F123" s="19"/>
      <c r="G123" s="9"/>
    </row>
    <row r="124" customFormat="false" ht="15" hidden="false" customHeight="false" outlineLevel="0" collapsed="false">
      <c r="B124" s="34"/>
      <c r="C124" s="9"/>
      <c r="D124" s="13"/>
      <c r="E124" s="9"/>
      <c r="F124" s="19"/>
      <c r="G124" s="9"/>
    </row>
    <row r="125" customFormat="false" ht="15" hidden="false" customHeight="false" outlineLevel="0" collapsed="false">
      <c r="B125" s="34"/>
      <c r="C125" s="9"/>
      <c r="D125" s="13"/>
      <c r="E125" s="9"/>
      <c r="F125" s="19"/>
      <c r="G125" s="9"/>
    </row>
    <row r="126" customFormat="false" ht="15" hidden="false" customHeight="false" outlineLevel="0" collapsed="false">
      <c r="B126" s="34"/>
      <c r="C126" s="9"/>
      <c r="D126" s="13"/>
      <c r="E126" s="9"/>
      <c r="F126" s="19"/>
      <c r="G126" s="9"/>
    </row>
    <row r="127" customFormat="false" ht="15" hidden="false" customHeight="false" outlineLevel="0" collapsed="false">
      <c r="B127" s="34"/>
      <c r="C127" s="9"/>
      <c r="D127" s="13"/>
      <c r="E127" s="9"/>
      <c r="F127" s="19"/>
      <c r="G127" s="9"/>
    </row>
    <row r="128" customFormat="false" ht="15" hidden="false" customHeight="false" outlineLevel="0" collapsed="false">
      <c r="B128" s="34"/>
      <c r="C128" s="9"/>
      <c r="D128" s="13"/>
      <c r="E128" s="9"/>
      <c r="F128" s="19"/>
      <c r="G128" s="9"/>
    </row>
    <row r="129" customFormat="false" ht="15" hidden="false" customHeight="false" outlineLevel="0" collapsed="false">
      <c r="B129" s="34"/>
      <c r="C129" s="9"/>
      <c r="D129" s="13"/>
      <c r="E129" s="9"/>
      <c r="F129" s="19"/>
      <c r="G129" s="9"/>
    </row>
    <row r="130" customFormat="false" ht="15" hidden="false" customHeight="false" outlineLevel="0" collapsed="false">
      <c r="B130" s="34"/>
      <c r="C130" s="9"/>
      <c r="D130" s="13"/>
      <c r="E130" s="9"/>
      <c r="F130" s="19"/>
      <c r="G130" s="9"/>
    </row>
    <row r="131" customFormat="false" ht="15" hidden="false" customHeight="false" outlineLevel="0" collapsed="false">
      <c r="B131" s="34"/>
      <c r="C131" s="9"/>
      <c r="D131" s="13"/>
      <c r="E131" s="9"/>
      <c r="F131" s="19"/>
      <c r="G131" s="9"/>
    </row>
    <row r="132" customFormat="false" ht="15" hidden="false" customHeight="false" outlineLevel="0" collapsed="false">
      <c r="B132" s="34"/>
      <c r="C132" s="9"/>
      <c r="D132" s="13"/>
      <c r="E132" s="9"/>
      <c r="F132" s="19"/>
      <c r="G132" s="9"/>
    </row>
    <row r="133" customFormat="false" ht="15" hidden="false" customHeight="false" outlineLevel="0" collapsed="false">
      <c r="B133" s="34"/>
      <c r="C133" s="9"/>
      <c r="D133" s="13"/>
      <c r="E133" s="9"/>
      <c r="F133" s="19"/>
      <c r="G133" s="9"/>
    </row>
    <row r="134" customFormat="false" ht="15" hidden="false" customHeight="false" outlineLevel="0" collapsed="false">
      <c r="B134" s="34"/>
      <c r="C134" s="9"/>
      <c r="D134" s="13"/>
      <c r="E134" s="9"/>
      <c r="F134" s="19"/>
      <c r="G134" s="9"/>
    </row>
    <row r="135" customFormat="false" ht="15" hidden="false" customHeight="false" outlineLevel="0" collapsed="false">
      <c r="B135" s="34"/>
      <c r="C135" s="9"/>
      <c r="D135" s="13"/>
      <c r="E135" s="9"/>
      <c r="F135" s="19"/>
      <c r="G135" s="9"/>
    </row>
    <row r="136" customFormat="false" ht="15" hidden="false" customHeight="false" outlineLevel="0" collapsed="false">
      <c r="B136" s="34"/>
      <c r="C136" s="9"/>
      <c r="D136" s="13"/>
      <c r="E136" s="9"/>
      <c r="F136" s="19"/>
      <c r="G136" s="9"/>
    </row>
    <row r="137" customFormat="false" ht="15" hidden="false" customHeight="false" outlineLevel="0" collapsed="false">
      <c r="B137" s="34"/>
      <c r="C137" s="9"/>
      <c r="D137" s="13"/>
      <c r="E137" s="9"/>
      <c r="F137" s="19"/>
      <c r="G137" s="9"/>
    </row>
    <row r="138" customFormat="false" ht="15" hidden="false" customHeight="false" outlineLevel="0" collapsed="false">
      <c r="B138" s="34"/>
      <c r="C138" s="9"/>
      <c r="D138" s="13"/>
      <c r="E138" s="9"/>
      <c r="F138" s="19"/>
      <c r="G138" s="9"/>
    </row>
    <row r="139" customFormat="false" ht="15" hidden="false" customHeight="false" outlineLevel="0" collapsed="false">
      <c r="B139" s="34"/>
      <c r="C139" s="9"/>
      <c r="D139" s="13"/>
      <c r="E139" s="9"/>
      <c r="F139" s="19"/>
      <c r="G139" s="9"/>
    </row>
    <row r="140" customFormat="false" ht="15" hidden="false" customHeight="false" outlineLevel="0" collapsed="false">
      <c r="B140" s="34"/>
      <c r="C140" s="9"/>
      <c r="D140" s="13"/>
      <c r="E140" s="9"/>
      <c r="F140" s="19"/>
      <c r="G140" s="9"/>
    </row>
    <row r="141" customFormat="false" ht="15" hidden="false" customHeight="false" outlineLevel="0" collapsed="false">
      <c r="B141" s="34"/>
      <c r="C141" s="9"/>
      <c r="D141" s="13"/>
      <c r="E141" s="9"/>
      <c r="F141" s="19"/>
      <c r="G141" s="9"/>
    </row>
    <row r="142" customFormat="false" ht="15" hidden="false" customHeight="false" outlineLevel="0" collapsed="false">
      <c r="B142" s="34"/>
      <c r="C142" s="9"/>
      <c r="D142" s="13"/>
      <c r="E142" s="9"/>
      <c r="F142" s="19"/>
      <c r="G142" s="9"/>
    </row>
    <row r="143" customFormat="false" ht="15" hidden="false" customHeight="false" outlineLevel="0" collapsed="false">
      <c r="B143" s="34"/>
      <c r="C143" s="9"/>
      <c r="D143" s="13"/>
      <c r="E143" s="9"/>
      <c r="F143" s="19"/>
      <c r="G143" s="9"/>
    </row>
    <row r="144" customFormat="false" ht="15" hidden="false" customHeight="false" outlineLevel="0" collapsed="false">
      <c r="B144" s="34"/>
      <c r="C144" s="9"/>
      <c r="D144" s="13"/>
      <c r="E144" s="9"/>
      <c r="F144" s="19"/>
      <c r="G144" s="9"/>
    </row>
    <row r="145" customFormat="false" ht="15" hidden="false" customHeight="false" outlineLevel="0" collapsed="false">
      <c r="B145" s="34"/>
      <c r="C145" s="9"/>
      <c r="D145" s="13"/>
      <c r="E145" s="9"/>
      <c r="F145" s="19"/>
      <c r="G145" s="9"/>
    </row>
    <row r="146" customFormat="false" ht="15" hidden="false" customHeight="false" outlineLevel="0" collapsed="false">
      <c r="B146" s="34"/>
      <c r="C146" s="9"/>
      <c r="D146" s="13"/>
      <c r="E146" s="9"/>
      <c r="F146" s="19"/>
      <c r="G146" s="9"/>
    </row>
    <row r="147" customFormat="false" ht="15" hidden="false" customHeight="false" outlineLevel="0" collapsed="false">
      <c r="B147" s="34"/>
      <c r="C147" s="9"/>
      <c r="D147" s="13"/>
      <c r="E147" s="9"/>
      <c r="F147" s="19"/>
      <c r="G147" s="9"/>
    </row>
    <row r="148" customFormat="false" ht="15" hidden="false" customHeight="false" outlineLevel="0" collapsed="false">
      <c r="B148" s="34"/>
      <c r="C148" s="9"/>
      <c r="D148" s="13"/>
      <c r="E148" s="9"/>
      <c r="F148" s="19"/>
      <c r="G148" s="9"/>
    </row>
    <row r="149" customFormat="false" ht="15" hidden="false" customHeight="false" outlineLevel="0" collapsed="false">
      <c r="B149" s="34"/>
      <c r="C149" s="9"/>
      <c r="D149" s="13"/>
      <c r="E149" s="9"/>
      <c r="F149" s="19"/>
      <c r="G149" s="9"/>
    </row>
    <row r="150" customFormat="false" ht="15" hidden="false" customHeight="false" outlineLevel="0" collapsed="false">
      <c r="B150" s="34"/>
      <c r="C150" s="9"/>
      <c r="D150" s="13"/>
      <c r="E150" s="9"/>
      <c r="F150" s="19"/>
      <c r="G150" s="9"/>
    </row>
    <row r="151" customFormat="false" ht="15" hidden="false" customHeight="false" outlineLevel="0" collapsed="false">
      <c r="B151" s="34"/>
      <c r="C151" s="9"/>
      <c r="D151" s="13"/>
      <c r="E151" s="9"/>
      <c r="F151" s="19"/>
      <c r="G151" s="9"/>
    </row>
    <row r="152" customFormat="false" ht="15" hidden="false" customHeight="false" outlineLevel="0" collapsed="false">
      <c r="B152" s="34"/>
      <c r="C152" s="9"/>
      <c r="D152" s="13"/>
      <c r="E152" s="9"/>
      <c r="F152" s="19"/>
      <c r="G152" s="9"/>
    </row>
    <row r="153" customFormat="false" ht="15" hidden="false" customHeight="false" outlineLevel="0" collapsed="false">
      <c r="B153" s="34"/>
      <c r="C153" s="9"/>
      <c r="D153" s="13"/>
      <c r="E153" s="9"/>
      <c r="F153" s="19"/>
      <c r="G153" s="9"/>
    </row>
    <row r="154" customFormat="false" ht="15" hidden="false" customHeight="false" outlineLevel="0" collapsed="false">
      <c r="B154" s="34"/>
      <c r="C154" s="9"/>
      <c r="D154" s="13"/>
      <c r="E154" s="9"/>
      <c r="F154" s="19"/>
      <c r="G154" s="9"/>
    </row>
    <row r="155" customFormat="false" ht="15" hidden="false" customHeight="false" outlineLevel="0" collapsed="false">
      <c r="B155" s="34"/>
      <c r="C155" s="9"/>
      <c r="D155" s="13"/>
      <c r="E155" s="9"/>
      <c r="F155" s="19"/>
      <c r="G155" s="9"/>
    </row>
    <row r="156" customFormat="false" ht="15" hidden="false" customHeight="false" outlineLevel="0" collapsed="false">
      <c r="B156" s="34"/>
      <c r="C156" s="9"/>
      <c r="D156" s="13"/>
      <c r="E156" s="9"/>
      <c r="F156" s="19"/>
      <c r="G156" s="9"/>
    </row>
    <row r="157" customFormat="false" ht="15" hidden="false" customHeight="false" outlineLevel="0" collapsed="false">
      <c r="B157" s="34"/>
      <c r="C157" s="9"/>
      <c r="D157" s="13"/>
      <c r="E157" s="9"/>
      <c r="F157" s="19"/>
      <c r="G157" s="9"/>
    </row>
    <row r="158" customFormat="false" ht="15" hidden="false" customHeight="false" outlineLevel="0" collapsed="false">
      <c r="B158" s="34"/>
      <c r="C158" s="9"/>
      <c r="D158" s="13"/>
      <c r="E158" s="9"/>
      <c r="F158" s="19"/>
      <c r="G158" s="9"/>
    </row>
    <row r="159" customFormat="false" ht="15" hidden="false" customHeight="false" outlineLevel="0" collapsed="false">
      <c r="B159" s="34"/>
      <c r="C159" s="9"/>
      <c r="D159" s="13"/>
      <c r="E159" s="9"/>
      <c r="F159" s="19"/>
      <c r="G159" s="9"/>
    </row>
    <row r="160" customFormat="false" ht="15" hidden="false" customHeight="false" outlineLevel="0" collapsed="false">
      <c r="B160" s="34"/>
      <c r="C160" s="9"/>
      <c r="D160" s="13"/>
      <c r="E160" s="9"/>
      <c r="F160" s="19"/>
      <c r="G160" s="9"/>
    </row>
    <row r="161" customFormat="false" ht="15" hidden="false" customHeight="false" outlineLevel="0" collapsed="false">
      <c r="B161" s="34"/>
      <c r="C161" s="9"/>
      <c r="D161" s="13"/>
      <c r="E161" s="9"/>
      <c r="F161" s="19"/>
      <c r="G161" s="9"/>
    </row>
    <row r="162" customFormat="false" ht="15" hidden="false" customHeight="false" outlineLevel="0" collapsed="false">
      <c r="B162" s="34"/>
      <c r="C162" s="9"/>
      <c r="D162" s="13"/>
      <c r="E162" s="9"/>
      <c r="F162" s="19"/>
      <c r="G162" s="9"/>
    </row>
    <row r="163" customFormat="false" ht="15" hidden="false" customHeight="false" outlineLevel="0" collapsed="false">
      <c r="B163" s="34"/>
      <c r="C163" s="9"/>
      <c r="D163" s="13"/>
      <c r="E163" s="9"/>
      <c r="F163" s="19"/>
      <c r="G163" s="9"/>
    </row>
    <row r="164" customFormat="false" ht="15" hidden="false" customHeight="false" outlineLevel="0" collapsed="false">
      <c r="B164" s="34"/>
      <c r="C164" s="9"/>
      <c r="D164" s="13"/>
      <c r="E164" s="9"/>
      <c r="F164" s="19"/>
      <c r="G164" s="9"/>
    </row>
    <row r="165" customFormat="false" ht="15" hidden="false" customHeight="false" outlineLevel="0" collapsed="false">
      <c r="B165" s="34"/>
      <c r="C165" s="9"/>
      <c r="D165" s="13"/>
      <c r="E165" s="9"/>
      <c r="F165" s="19"/>
      <c r="G165" s="9"/>
    </row>
    <row r="166" customFormat="false" ht="15" hidden="false" customHeight="false" outlineLevel="0" collapsed="false">
      <c r="B166" s="34"/>
      <c r="C166" s="9"/>
      <c r="D166" s="13"/>
      <c r="E166" s="9"/>
      <c r="F166" s="19"/>
      <c r="G166" s="9"/>
    </row>
    <row r="167" customFormat="false" ht="15" hidden="false" customHeight="false" outlineLevel="0" collapsed="false">
      <c r="B167" s="34"/>
      <c r="C167" s="9"/>
      <c r="D167" s="13"/>
      <c r="E167" s="9"/>
      <c r="F167" s="19"/>
      <c r="G167" s="9"/>
    </row>
    <row r="168" customFormat="false" ht="15" hidden="false" customHeight="false" outlineLevel="0" collapsed="false">
      <c r="B168" s="34"/>
      <c r="C168" s="9"/>
      <c r="D168" s="13"/>
      <c r="E168" s="9"/>
      <c r="F168" s="19"/>
      <c r="G168" s="9"/>
    </row>
    <row r="169" customFormat="false" ht="15" hidden="false" customHeight="false" outlineLevel="0" collapsed="false">
      <c r="B169" s="34"/>
      <c r="C169" s="9"/>
      <c r="D169" s="13"/>
      <c r="E169" s="9"/>
      <c r="F169" s="19"/>
      <c r="G169" s="9"/>
    </row>
    <row r="170" customFormat="false" ht="15" hidden="false" customHeight="false" outlineLevel="0" collapsed="false">
      <c r="B170" s="34"/>
      <c r="C170" s="9"/>
      <c r="D170" s="13"/>
      <c r="E170" s="9"/>
      <c r="F170" s="19"/>
      <c r="G170" s="9"/>
    </row>
    <row r="171" customFormat="false" ht="15" hidden="false" customHeight="false" outlineLevel="0" collapsed="false">
      <c r="B171" s="34"/>
      <c r="C171" s="9"/>
      <c r="D171" s="13"/>
      <c r="E171" s="9"/>
      <c r="F171" s="19"/>
      <c r="G171" s="9"/>
    </row>
    <row r="172" customFormat="false" ht="15" hidden="false" customHeight="false" outlineLevel="0" collapsed="false">
      <c r="B172" s="34"/>
      <c r="C172" s="9"/>
      <c r="D172" s="13"/>
      <c r="E172" s="9"/>
      <c r="F172" s="19"/>
      <c r="G172" s="9"/>
    </row>
    <row r="173" customFormat="false" ht="15" hidden="false" customHeight="false" outlineLevel="0" collapsed="false">
      <c r="B173" s="34"/>
      <c r="C173" s="9"/>
      <c r="D173" s="13"/>
      <c r="E173" s="9"/>
      <c r="F173" s="19"/>
      <c r="G173" s="9"/>
    </row>
    <row r="174" customFormat="false" ht="15" hidden="false" customHeight="false" outlineLevel="0" collapsed="false">
      <c r="B174" s="34"/>
      <c r="C174" s="9"/>
      <c r="D174" s="13"/>
      <c r="E174" s="9"/>
      <c r="F174" s="19"/>
      <c r="G174" s="9"/>
    </row>
    <row r="175" customFormat="false" ht="15" hidden="false" customHeight="false" outlineLevel="0" collapsed="false">
      <c r="B175" s="34"/>
      <c r="C175" s="9"/>
      <c r="D175" s="13"/>
      <c r="E175" s="9"/>
      <c r="F175" s="19"/>
      <c r="G175" s="9"/>
    </row>
    <row r="176" customFormat="false" ht="15" hidden="false" customHeight="false" outlineLevel="0" collapsed="false">
      <c r="B176" s="34"/>
      <c r="C176" s="9"/>
      <c r="D176" s="13"/>
      <c r="E176" s="9"/>
      <c r="F176" s="19"/>
      <c r="G176" s="9"/>
    </row>
    <row r="177" customFormat="false" ht="15" hidden="false" customHeight="false" outlineLevel="0" collapsed="false">
      <c r="B177" s="34"/>
      <c r="C177" s="9"/>
      <c r="D177" s="13"/>
      <c r="E177" s="9"/>
      <c r="F177" s="19"/>
      <c r="G177" s="9"/>
    </row>
    <row r="178" customFormat="false" ht="15" hidden="false" customHeight="false" outlineLevel="0" collapsed="false">
      <c r="B178" s="34"/>
      <c r="C178" s="9"/>
      <c r="D178" s="13"/>
      <c r="E178" s="9"/>
      <c r="F178" s="19"/>
      <c r="G178" s="9"/>
    </row>
    <row r="179" customFormat="false" ht="15" hidden="false" customHeight="false" outlineLevel="0" collapsed="false">
      <c r="B179" s="34"/>
      <c r="C179" s="9"/>
      <c r="D179" s="13"/>
      <c r="E179" s="9"/>
      <c r="F179" s="19"/>
      <c r="G179" s="9"/>
    </row>
    <row r="180" customFormat="false" ht="15" hidden="false" customHeight="false" outlineLevel="0" collapsed="false">
      <c r="B180" s="34"/>
      <c r="C180" s="9"/>
      <c r="D180" s="13"/>
      <c r="E180" s="9"/>
      <c r="F180" s="19"/>
      <c r="G180" s="9"/>
    </row>
    <row r="181" customFormat="false" ht="15" hidden="false" customHeight="false" outlineLevel="0" collapsed="false">
      <c r="B181" s="34"/>
      <c r="C181" s="9"/>
      <c r="D181" s="13"/>
      <c r="E181" s="9"/>
      <c r="F181" s="19"/>
      <c r="G181" s="9"/>
    </row>
    <row r="182" customFormat="false" ht="15" hidden="false" customHeight="false" outlineLevel="0" collapsed="false">
      <c r="B182" s="34"/>
      <c r="C182" s="9"/>
      <c r="D182" s="13"/>
      <c r="E182" s="9"/>
      <c r="F182" s="19"/>
      <c r="G182" s="9"/>
    </row>
    <row r="183" customFormat="false" ht="15" hidden="false" customHeight="false" outlineLevel="0" collapsed="false">
      <c r="B183" s="34"/>
      <c r="C183" s="9"/>
      <c r="D183" s="13"/>
      <c r="E183" s="9"/>
      <c r="F183" s="19"/>
      <c r="G183" s="9"/>
    </row>
    <row r="184" customFormat="false" ht="15" hidden="false" customHeight="false" outlineLevel="0" collapsed="false">
      <c r="B184" s="34"/>
      <c r="C184" s="9"/>
      <c r="D184" s="13"/>
      <c r="E184" s="9"/>
      <c r="F184" s="19"/>
      <c r="G184" s="9"/>
    </row>
    <row r="185" customFormat="false" ht="15" hidden="false" customHeight="false" outlineLevel="0" collapsed="false">
      <c r="B185" s="34"/>
      <c r="C185" s="9"/>
      <c r="D185" s="13"/>
      <c r="E185" s="9"/>
      <c r="F185" s="19"/>
      <c r="G185" s="9"/>
    </row>
    <row r="186" customFormat="false" ht="15" hidden="false" customHeight="false" outlineLevel="0" collapsed="false">
      <c r="B186" s="34"/>
      <c r="C186" s="9"/>
      <c r="D186" s="13"/>
      <c r="E186" s="9"/>
      <c r="F186" s="19"/>
      <c r="G186" s="9"/>
    </row>
    <row r="187" customFormat="false" ht="15" hidden="false" customHeight="false" outlineLevel="0" collapsed="false">
      <c r="B187" s="34"/>
      <c r="C187" s="9"/>
      <c r="D187" s="13"/>
      <c r="E187" s="9"/>
      <c r="F187" s="19"/>
      <c r="G187" s="9"/>
    </row>
    <row r="188" customFormat="false" ht="15" hidden="false" customHeight="false" outlineLevel="0" collapsed="false">
      <c r="B188" s="34"/>
      <c r="C188" s="9"/>
      <c r="D188" s="13"/>
      <c r="E188" s="9"/>
      <c r="F188" s="19"/>
      <c r="G188" s="9"/>
    </row>
    <row r="189" customFormat="false" ht="15" hidden="false" customHeight="false" outlineLevel="0" collapsed="false">
      <c r="B189" s="34"/>
      <c r="C189" s="9"/>
      <c r="D189" s="13"/>
      <c r="E189" s="9"/>
      <c r="F189" s="19"/>
      <c r="G189" s="9"/>
    </row>
    <row r="190" customFormat="false" ht="15" hidden="false" customHeight="false" outlineLevel="0" collapsed="false">
      <c r="B190" s="34"/>
      <c r="C190" s="9"/>
      <c r="D190" s="13"/>
      <c r="E190" s="9"/>
      <c r="F190" s="19"/>
      <c r="G190" s="9"/>
    </row>
    <row r="191" customFormat="false" ht="15" hidden="false" customHeight="false" outlineLevel="0" collapsed="false">
      <c r="B191" s="34"/>
      <c r="C191" s="9"/>
      <c r="D191" s="13"/>
      <c r="E191" s="9"/>
      <c r="F191" s="19"/>
      <c r="G191" s="9"/>
    </row>
    <row r="192" customFormat="false" ht="15" hidden="false" customHeight="false" outlineLevel="0" collapsed="false">
      <c r="B192" s="34"/>
      <c r="C192" s="9"/>
      <c r="D192" s="13"/>
      <c r="E192" s="9"/>
      <c r="F192" s="19"/>
      <c r="G192" s="9"/>
    </row>
    <row r="193" customFormat="false" ht="15" hidden="false" customHeight="false" outlineLevel="0" collapsed="false">
      <c r="B193" s="34"/>
      <c r="C193" s="9"/>
      <c r="D193" s="13"/>
      <c r="E193" s="9"/>
      <c r="F193" s="19"/>
      <c r="G193" s="9"/>
    </row>
    <row r="194" customFormat="false" ht="15" hidden="false" customHeight="false" outlineLevel="0" collapsed="false">
      <c r="B194" s="34"/>
      <c r="C194" s="9"/>
      <c r="D194" s="13"/>
      <c r="E194" s="9"/>
      <c r="F194" s="19"/>
      <c r="G194" s="9"/>
    </row>
    <row r="195" customFormat="false" ht="15" hidden="false" customHeight="false" outlineLevel="0" collapsed="false">
      <c r="B195" s="34"/>
      <c r="C195" s="9"/>
      <c r="D195" s="13"/>
      <c r="E195" s="9"/>
      <c r="F195" s="19"/>
      <c r="G195" s="9"/>
    </row>
    <row r="196" customFormat="false" ht="15" hidden="false" customHeight="false" outlineLevel="0" collapsed="false">
      <c r="B196" s="34"/>
      <c r="C196" s="9"/>
      <c r="D196" s="13"/>
      <c r="E196" s="9"/>
      <c r="F196" s="19"/>
      <c r="G196" s="9"/>
    </row>
    <row r="197" customFormat="false" ht="15" hidden="false" customHeight="false" outlineLevel="0" collapsed="false">
      <c r="B197" s="34"/>
      <c r="C197" s="9"/>
      <c r="D197" s="13"/>
      <c r="E197" s="9"/>
      <c r="F197" s="19"/>
      <c r="G197" s="9"/>
    </row>
    <row r="198" customFormat="false" ht="15" hidden="false" customHeight="false" outlineLevel="0" collapsed="false">
      <c r="B198" s="34"/>
      <c r="C198" s="9"/>
      <c r="D198" s="13"/>
      <c r="E198" s="9"/>
      <c r="F198" s="19"/>
      <c r="G198" s="9"/>
    </row>
    <row r="199" customFormat="false" ht="15" hidden="false" customHeight="false" outlineLevel="0" collapsed="false">
      <c r="B199" s="34"/>
      <c r="C199" s="9"/>
      <c r="D199" s="13"/>
      <c r="E199" s="9"/>
      <c r="F199" s="19"/>
      <c r="G199" s="9"/>
    </row>
    <row r="200" customFormat="false" ht="15" hidden="false" customHeight="false" outlineLevel="0" collapsed="false">
      <c r="B200" s="34"/>
      <c r="C200" s="9"/>
      <c r="D200" s="13"/>
      <c r="E200" s="9"/>
      <c r="F200" s="19"/>
      <c r="G200" s="9"/>
    </row>
    <row r="201" customFormat="false" ht="15" hidden="false" customHeight="false" outlineLevel="0" collapsed="false">
      <c r="B201" s="34"/>
      <c r="C201" s="9"/>
      <c r="D201" s="13"/>
      <c r="E201" s="9"/>
      <c r="F201" s="19"/>
      <c r="G201" s="9"/>
    </row>
    <row r="202" customFormat="false" ht="15" hidden="false" customHeight="false" outlineLevel="0" collapsed="false">
      <c r="B202" s="34"/>
      <c r="C202" s="9"/>
      <c r="D202" s="13"/>
      <c r="E202" s="9"/>
      <c r="F202" s="19"/>
      <c r="G202" s="9"/>
    </row>
    <row r="203" customFormat="false" ht="15" hidden="false" customHeight="false" outlineLevel="0" collapsed="false">
      <c r="B203" s="34"/>
      <c r="C203" s="9"/>
      <c r="D203" s="13"/>
      <c r="E203" s="9"/>
      <c r="F203" s="19"/>
      <c r="G203" s="9"/>
    </row>
    <row r="204" customFormat="false" ht="15" hidden="false" customHeight="false" outlineLevel="0" collapsed="false">
      <c r="B204" s="34"/>
      <c r="C204" s="9"/>
      <c r="D204" s="13"/>
      <c r="E204" s="9"/>
      <c r="F204" s="19"/>
      <c r="G204" s="9"/>
    </row>
    <row r="205" customFormat="false" ht="15" hidden="false" customHeight="false" outlineLevel="0" collapsed="false">
      <c r="B205" s="34"/>
      <c r="C205" s="9"/>
      <c r="D205" s="13"/>
      <c r="E205" s="9"/>
      <c r="F205" s="19"/>
      <c r="G205" s="9"/>
    </row>
    <row r="206" customFormat="false" ht="15" hidden="false" customHeight="false" outlineLevel="0" collapsed="false">
      <c r="B206" s="34"/>
      <c r="C206" s="9"/>
      <c r="D206" s="13"/>
      <c r="E206" s="9"/>
      <c r="F206" s="19"/>
      <c r="G206" s="9"/>
    </row>
    <row r="207" customFormat="false" ht="15" hidden="false" customHeight="false" outlineLevel="0" collapsed="false">
      <c r="B207" s="34"/>
      <c r="C207" s="9"/>
      <c r="D207" s="13"/>
      <c r="E207" s="9"/>
      <c r="F207" s="19"/>
      <c r="G207" s="9"/>
    </row>
    <row r="208" customFormat="false" ht="15" hidden="false" customHeight="false" outlineLevel="0" collapsed="false">
      <c r="B208" s="34"/>
      <c r="C208" s="9"/>
      <c r="D208" s="13"/>
      <c r="E208" s="9"/>
      <c r="F208" s="19"/>
      <c r="G208" s="9"/>
    </row>
    <row r="209" customFormat="false" ht="15" hidden="false" customHeight="false" outlineLevel="0" collapsed="false">
      <c r="B209" s="34"/>
      <c r="C209" s="9"/>
      <c r="D209" s="13"/>
      <c r="E209" s="9"/>
      <c r="F209" s="19"/>
      <c r="G209" s="9"/>
    </row>
    <row r="210" customFormat="false" ht="15" hidden="false" customHeight="false" outlineLevel="0" collapsed="false">
      <c r="B210" s="34"/>
      <c r="C210" s="9"/>
      <c r="D210" s="13"/>
      <c r="E210" s="9"/>
      <c r="F210" s="19"/>
      <c r="G210" s="9"/>
    </row>
    <row r="211" customFormat="false" ht="15" hidden="false" customHeight="false" outlineLevel="0" collapsed="false">
      <c r="B211" s="34"/>
      <c r="C211" s="9"/>
      <c r="D211" s="13"/>
      <c r="E211" s="9"/>
      <c r="F211" s="19"/>
      <c r="G211" s="9"/>
    </row>
    <row r="212" customFormat="false" ht="15" hidden="false" customHeight="false" outlineLevel="0" collapsed="false">
      <c r="B212" s="34"/>
      <c r="C212" s="9"/>
      <c r="D212" s="13"/>
      <c r="E212" s="9"/>
      <c r="F212" s="19"/>
      <c r="G212" s="9"/>
    </row>
    <row r="213" customFormat="false" ht="15" hidden="false" customHeight="false" outlineLevel="0" collapsed="false">
      <c r="B213" s="34"/>
      <c r="C213" s="9"/>
      <c r="D213" s="13"/>
      <c r="E213" s="9"/>
      <c r="F213" s="19"/>
      <c r="G213" s="9"/>
    </row>
    <row r="214" customFormat="false" ht="15" hidden="false" customHeight="false" outlineLevel="0" collapsed="false">
      <c r="B214" s="34"/>
      <c r="C214" s="9"/>
      <c r="D214" s="13"/>
      <c r="E214" s="9"/>
      <c r="F214" s="19"/>
      <c r="G214" s="9"/>
    </row>
    <row r="215" customFormat="false" ht="15" hidden="false" customHeight="false" outlineLevel="0" collapsed="false">
      <c r="B215" s="34"/>
      <c r="C215" s="9"/>
      <c r="D215" s="13"/>
      <c r="E215" s="9"/>
      <c r="F215" s="19"/>
      <c r="G215" s="9"/>
    </row>
    <row r="216" customFormat="false" ht="15" hidden="false" customHeight="false" outlineLevel="0" collapsed="false">
      <c r="B216" s="34"/>
      <c r="C216" s="9"/>
      <c r="D216" s="13"/>
      <c r="E216" s="9"/>
      <c r="F216" s="19"/>
      <c r="G216" s="9"/>
    </row>
    <row r="217" customFormat="false" ht="15" hidden="false" customHeight="false" outlineLevel="0" collapsed="false">
      <c r="B217" s="34"/>
      <c r="C217" s="9"/>
      <c r="D217" s="13"/>
      <c r="E217" s="9"/>
      <c r="F217" s="19"/>
      <c r="G217" s="9"/>
    </row>
    <row r="218" customFormat="false" ht="15" hidden="false" customHeight="false" outlineLevel="0" collapsed="false">
      <c r="B218" s="34"/>
      <c r="C218" s="9"/>
      <c r="D218" s="13"/>
      <c r="E218" s="9"/>
      <c r="F218" s="19"/>
      <c r="G218" s="9"/>
    </row>
    <row r="219" customFormat="false" ht="15" hidden="false" customHeight="false" outlineLevel="0" collapsed="false">
      <c r="B219" s="34"/>
      <c r="C219" s="9"/>
      <c r="D219" s="13"/>
      <c r="E219" s="9"/>
      <c r="F219" s="19"/>
      <c r="G219" s="9"/>
    </row>
    <row r="220" customFormat="false" ht="15" hidden="false" customHeight="false" outlineLevel="0" collapsed="false">
      <c r="B220" s="34"/>
      <c r="C220" s="9"/>
      <c r="D220" s="13"/>
      <c r="E220" s="9"/>
      <c r="F220" s="19"/>
      <c r="G220" s="9"/>
    </row>
    <row r="221" customFormat="false" ht="15" hidden="false" customHeight="false" outlineLevel="0" collapsed="false">
      <c r="B221" s="34"/>
      <c r="C221" s="9"/>
      <c r="D221" s="13"/>
      <c r="E221" s="9"/>
      <c r="F221" s="19"/>
      <c r="G221" s="9"/>
    </row>
    <row r="222" customFormat="false" ht="15" hidden="false" customHeight="false" outlineLevel="0" collapsed="false">
      <c r="B222" s="34"/>
      <c r="C222" s="9"/>
      <c r="D222" s="13"/>
      <c r="E222" s="9"/>
      <c r="F222" s="19"/>
      <c r="G222" s="9"/>
    </row>
    <row r="223" customFormat="false" ht="15" hidden="false" customHeight="false" outlineLevel="0" collapsed="false">
      <c r="B223" s="34"/>
      <c r="C223" s="9"/>
      <c r="D223" s="13"/>
      <c r="E223" s="9"/>
      <c r="F223" s="19"/>
      <c r="G223" s="9"/>
    </row>
    <row r="224" customFormat="false" ht="15" hidden="false" customHeight="false" outlineLevel="0" collapsed="false">
      <c r="B224" s="34"/>
      <c r="C224" s="9"/>
      <c r="D224" s="13"/>
      <c r="E224" s="9"/>
      <c r="F224" s="19"/>
      <c r="G224" s="9"/>
    </row>
    <row r="225" customFormat="false" ht="15" hidden="false" customHeight="false" outlineLevel="0" collapsed="false">
      <c r="B225" s="34"/>
      <c r="C225" s="9"/>
      <c r="D225" s="13"/>
      <c r="E225" s="9"/>
      <c r="F225" s="19"/>
      <c r="G225" s="9"/>
    </row>
    <row r="226" customFormat="false" ht="15" hidden="false" customHeight="false" outlineLevel="0" collapsed="false">
      <c r="B226" s="34"/>
      <c r="C226" s="9"/>
      <c r="D226" s="13"/>
      <c r="E226" s="9"/>
      <c r="F226" s="19"/>
      <c r="G226" s="9"/>
    </row>
    <row r="227" customFormat="false" ht="15" hidden="false" customHeight="false" outlineLevel="0" collapsed="false">
      <c r="B227" s="34"/>
      <c r="C227" s="9"/>
      <c r="D227" s="13"/>
      <c r="E227" s="9"/>
      <c r="F227" s="19"/>
      <c r="G227" s="9"/>
    </row>
    <row r="228" customFormat="false" ht="15" hidden="false" customHeight="false" outlineLevel="0" collapsed="false">
      <c r="B228" s="34"/>
      <c r="C228" s="9"/>
      <c r="D228" s="13"/>
      <c r="E228" s="9"/>
      <c r="F228" s="19"/>
      <c r="G228" s="9"/>
    </row>
    <row r="229" customFormat="false" ht="15" hidden="false" customHeight="false" outlineLevel="0" collapsed="false">
      <c r="B229" s="34"/>
      <c r="C229" s="9"/>
      <c r="D229" s="13"/>
      <c r="E229" s="9"/>
      <c r="F229" s="19"/>
      <c r="G229" s="9"/>
    </row>
    <row r="230" customFormat="false" ht="15" hidden="false" customHeight="false" outlineLevel="0" collapsed="false">
      <c r="B230" s="34"/>
      <c r="C230" s="9"/>
      <c r="D230" s="13"/>
      <c r="E230" s="9"/>
      <c r="F230" s="19"/>
      <c r="G230" s="9"/>
    </row>
    <row r="231" customFormat="false" ht="15" hidden="false" customHeight="false" outlineLevel="0" collapsed="false">
      <c r="B231" s="34"/>
      <c r="C231" s="9"/>
      <c r="D231" s="13"/>
      <c r="E231" s="9"/>
      <c r="F231" s="19"/>
      <c r="G231" s="9"/>
    </row>
    <row r="232" customFormat="false" ht="15" hidden="false" customHeight="false" outlineLevel="0" collapsed="false">
      <c r="B232" s="34"/>
      <c r="C232" s="9"/>
      <c r="D232" s="13"/>
      <c r="E232" s="9"/>
      <c r="F232" s="19"/>
      <c r="G232" s="9"/>
    </row>
    <row r="233" customFormat="false" ht="15" hidden="false" customHeight="false" outlineLevel="0" collapsed="false">
      <c r="B233" s="34"/>
      <c r="C233" s="9"/>
      <c r="D233" s="13"/>
      <c r="E233" s="9"/>
      <c r="F233" s="19"/>
      <c r="G233" s="9"/>
    </row>
    <row r="234" customFormat="false" ht="15" hidden="false" customHeight="false" outlineLevel="0" collapsed="false">
      <c r="B234" s="34"/>
      <c r="C234" s="9"/>
      <c r="D234" s="13"/>
      <c r="E234" s="9"/>
      <c r="F234" s="19"/>
      <c r="G234" s="9"/>
    </row>
    <row r="235" customFormat="false" ht="15" hidden="false" customHeight="false" outlineLevel="0" collapsed="false">
      <c r="B235" s="34"/>
      <c r="C235" s="9"/>
      <c r="D235" s="13"/>
      <c r="E235" s="9"/>
      <c r="F235" s="19"/>
      <c r="G235" s="9"/>
    </row>
    <row r="236" customFormat="false" ht="15" hidden="false" customHeight="false" outlineLevel="0" collapsed="false">
      <c r="B236" s="34"/>
      <c r="C236" s="9"/>
      <c r="D236" s="13"/>
      <c r="E236" s="9"/>
      <c r="F236" s="19"/>
      <c r="G236" s="9"/>
    </row>
    <row r="237" customFormat="false" ht="15" hidden="false" customHeight="false" outlineLevel="0" collapsed="false">
      <c r="B237" s="34"/>
      <c r="C237" s="9"/>
      <c r="D237" s="13"/>
      <c r="E237" s="9"/>
      <c r="F237" s="19"/>
      <c r="G237" s="9"/>
    </row>
    <row r="238" customFormat="false" ht="15" hidden="false" customHeight="false" outlineLevel="0" collapsed="false">
      <c r="B238" s="34"/>
      <c r="C238" s="9"/>
      <c r="D238" s="13"/>
      <c r="E238" s="9"/>
      <c r="F238" s="19"/>
      <c r="G238" s="9"/>
    </row>
    <row r="239" customFormat="false" ht="15" hidden="false" customHeight="false" outlineLevel="0" collapsed="false">
      <c r="B239" s="34"/>
      <c r="C239" s="9"/>
      <c r="D239" s="13"/>
      <c r="E239" s="9"/>
      <c r="F239" s="19"/>
      <c r="G239" s="9"/>
    </row>
    <row r="240" customFormat="false" ht="15" hidden="false" customHeight="false" outlineLevel="0" collapsed="false">
      <c r="B240" s="34"/>
      <c r="C240" s="9"/>
      <c r="D240" s="13"/>
      <c r="E240" s="9"/>
      <c r="F240" s="19"/>
      <c r="G240" s="9"/>
    </row>
    <row r="241" customFormat="false" ht="15" hidden="false" customHeight="false" outlineLevel="0" collapsed="false">
      <c r="B241" s="34"/>
      <c r="C241" s="9"/>
      <c r="D241" s="13"/>
      <c r="E241" s="9"/>
      <c r="F241" s="19"/>
      <c r="G241" s="9"/>
    </row>
    <row r="242" customFormat="false" ht="15" hidden="false" customHeight="false" outlineLevel="0" collapsed="false">
      <c r="B242" s="34"/>
      <c r="C242" s="9"/>
      <c r="D242" s="13"/>
      <c r="E242" s="9"/>
      <c r="F242" s="19"/>
      <c r="G242" s="9"/>
    </row>
    <row r="243" customFormat="false" ht="15" hidden="false" customHeight="false" outlineLevel="0" collapsed="false">
      <c r="B243" s="34"/>
      <c r="C243" s="9"/>
      <c r="D243" s="13"/>
      <c r="E243" s="9"/>
      <c r="F243" s="19"/>
      <c r="G243" s="9"/>
    </row>
    <row r="244" customFormat="false" ht="15" hidden="false" customHeight="false" outlineLevel="0" collapsed="false">
      <c r="B244" s="34"/>
      <c r="C244" s="9"/>
      <c r="D244" s="13"/>
      <c r="E244" s="9"/>
      <c r="F244" s="19"/>
      <c r="G244" s="9"/>
    </row>
    <row r="245" customFormat="false" ht="15" hidden="false" customHeight="false" outlineLevel="0" collapsed="false">
      <c r="B245" s="34"/>
      <c r="C245" s="9"/>
      <c r="D245" s="13"/>
      <c r="E245" s="9"/>
      <c r="F245" s="19"/>
      <c r="G245" s="9"/>
    </row>
    <row r="246" customFormat="false" ht="15" hidden="false" customHeight="false" outlineLevel="0" collapsed="false">
      <c r="B246" s="34"/>
      <c r="C246" s="9"/>
      <c r="D246" s="13"/>
      <c r="E246" s="9"/>
      <c r="F246" s="19"/>
      <c r="G246" s="9"/>
    </row>
    <row r="247" customFormat="false" ht="15" hidden="false" customHeight="false" outlineLevel="0" collapsed="false">
      <c r="B247" s="34"/>
      <c r="C247" s="9"/>
      <c r="D247" s="13"/>
      <c r="E247" s="9"/>
      <c r="F247" s="19"/>
      <c r="G247" s="9"/>
    </row>
    <row r="248" customFormat="false" ht="15" hidden="false" customHeight="false" outlineLevel="0" collapsed="false">
      <c r="B248" s="34"/>
      <c r="C248" s="9"/>
      <c r="D248" s="13"/>
      <c r="E248" s="9"/>
      <c r="F248" s="19"/>
      <c r="G248" s="9"/>
    </row>
    <row r="249" customFormat="false" ht="15" hidden="false" customHeight="false" outlineLevel="0" collapsed="false">
      <c r="B249" s="34"/>
      <c r="C249" s="9"/>
      <c r="D249" s="13"/>
      <c r="E249" s="9"/>
      <c r="F249" s="19"/>
      <c r="G249" s="9"/>
    </row>
    <row r="250" customFormat="false" ht="15" hidden="false" customHeight="false" outlineLevel="0" collapsed="false">
      <c r="B250" s="34"/>
      <c r="C250" s="9"/>
      <c r="D250" s="13"/>
      <c r="E250" s="9"/>
      <c r="F250" s="19"/>
      <c r="G250" s="9"/>
    </row>
    <row r="251" customFormat="false" ht="15" hidden="false" customHeight="false" outlineLevel="0" collapsed="false">
      <c r="B251" s="34"/>
      <c r="C251" s="9"/>
      <c r="D251" s="13"/>
      <c r="E251" s="9"/>
      <c r="F251" s="19"/>
      <c r="G251" s="9"/>
    </row>
    <row r="252" customFormat="false" ht="15" hidden="false" customHeight="false" outlineLevel="0" collapsed="false">
      <c r="B252" s="34"/>
      <c r="C252" s="9"/>
      <c r="D252" s="13"/>
      <c r="E252" s="9"/>
      <c r="F252" s="19"/>
      <c r="G252" s="9"/>
    </row>
    <row r="253" customFormat="false" ht="15" hidden="false" customHeight="false" outlineLevel="0" collapsed="false">
      <c r="B253" s="34"/>
      <c r="C253" s="9"/>
      <c r="D253" s="13"/>
      <c r="E253" s="9"/>
      <c r="F253" s="19"/>
      <c r="G253" s="9"/>
    </row>
    <row r="254" customFormat="false" ht="15" hidden="false" customHeight="false" outlineLevel="0" collapsed="false">
      <c r="B254" s="34"/>
      <c r="C254" s="9"/>
      <c r="D254" s="13"/>
      <c r="E254" s="9"/>
      <c r="F254" s="19"/>
      <c r="G254" s="9"/>
    </row>
    <row r="255" customFormat="false" ht="15" hidden="false" customHeight="false" outlineLevel="0" collapsed="false">
      <c r="B255" s="34"/>
      <c r="C255" s="9"/>
      <c r="D255" s="13"/>
      <c r="E255" s="9"/>
      <c r="F255" s="19"/>
      <c r="G255" s="9"/>
    </row>
    <row r="256" customFormat="false" ht="15" hidden="false" customHeight="false" outlineLevel="0" collapsed="false">
      <c r="B256" s="34"/>
      <c r="C256" s="9"/>
      <c r="D256" s="13"/>
      <c r="E256" s="9"/>
      <c r="F256" s="19"/>
      <c r="G256" s="9"/>
    </row>
    <row r="257" customFormat="false" ht="15" hidden="false" customHeight="false" outlineLevel="0" collapsed="false">
      <c r="B257" s="34"/>
      <c r="C257" s="9"/>
      <c r="D257" s="13"/>
      <c r="E257" s="9"/>
      <c r="F257" s="19"/>
      <c r="G257" s="9"/>
    </row>
    <row r="258" customFormat="false" ht="15" hidden="false" customHeight="false" outlineLevel="0" collapsed="false">
      <c r="B258" s="34"/>
      <c r="C258" s="9"/>
      <c r="D258" s="13"/>
      <c r="E258" s="9"/>
      <c r="F258" s="19"/>
      <c r="G258" s="9"/>
    </row>
    <row r="259" customFormat="false" ht="15" hidden="false" customHeight="false" outlineLevel="0" collapsed="false">
      <c r="B259" s="34"/>
      <c r="C259" s="9"/>
      <c r="D259" s="13"/>
      <c r="E259" s="9"/>
      <c r="F259" s="19"/>
      <c r="G259" s="9"/>
    </row>
    <row r="260" customFormat="false" ht="15" hidden="false" customHeight="false" outlineLevel="0" collapsed="false">
      <c r="B260" s="34"/>
      <c r="C260" s="9"/>
      <c r="D260" s="13"/>
      <c r="E260" s="9"/>
      <c r="F260" s="19"/>
      <c r="G260" s="9"/>
    </row>
    <row r="261" customFormat="false" ht="15" hidden="false" customHeight="false" outlineLevel="0" collapsed="false">
      <c r="B261" s="34"/>
      <c r="C261" s="9"/>
      <c r="D261" s="13"/>
      <c r="E261" s="9"/>
      <c r="F261" s="19"/>
      <c r="G261" s="9"/>
    </row>
    <row r="262" customFormat="false" ht="15" hidden="false" customHeight="false" outlineLevel="0" collapsed="false">
      <c r="B262" s="34"/>
      <c r="C262" s="9"/>
      <c r="D262" s="13"/>
      <c r="E262" s="9"/>
      <c r="F262" s="19"/>
      <c r="G262" s="9"/>
    </row>
    <row r="263" customFormat="false" ht="15" hidden="false" customHeight="false" outlineLevel="0" collapsed="false">
      <c r="B263" s="34"/>
      <c r="C263" s="9"/>
      <c r="D263" s="13"/>
      <c r="E263" s="9"/>
      <c r="F263" s="19"/>
      <c r="G263" s="9"/>
    </row>
    <row r="264" customFormat="false" ht="15" hidden="false" customHeight="false" outlineLevel="0" collapsed="false">
      <c r="B264" s="34"/>
      <c r="C264" s="9"/>
      <c r="D264" s="13"/>
      <c r="E264" s="9"/>
      <c r="F264" s="19"/>
      <c r="G264" s="9"/>
    </row>
    <row r="265" customFormat="false" ht="15" hidden="false" customHeight="false" outlineLevel="0" collapsed="false">
      <c r="B265" s="34"/>
      <c r="C265" s="9"/>
      <c r="D265" s="13"/>
      <c r="E265" s="9"/>
      <c r="F265" s="19"/>
      <c r="G265" s="9"/>
    </row>
    <row r="266" customFormat="false" ht="15" hidden="false" customHeight="false" outlineLevel="0" collapsed="false">
      <c r="B266" s="34"/>
      <c r="C266" s="9"/>
      <c r="D266" s="13"/>
      <c r="E266" s="9"/>
      <c r="F266" s="19"/>
      <c r="G266" s="9"/>
    </row>
    <row r="267" customFormat="false" ht="15" hidden="false" customHeight="false" outlineLevel="0" collapsed="false">
      <c r="B267" s="34"/>
      <c r="C267" s="9"/>
      <c r="D267" s="13"/>
      <c r="E267" s="9"/>
      <c r="F267" s="19"/>
      <c r="G267" s="9"/>
    </row>
    <row r="268" customFormat="false" ht="15" hidden="false" customHeight="false" outlineLevel="0" collapsed="false">
      <c r="B268" s="34"/>
      <c r="C268" s="9"/>
      <c r="D268" s="13"/>
      <c r="E268" s="9"/>
      <c r="F268" s="19"/>
      <c r="G268" s="9"/>
    </row>
    <row r="269" customFormat="false" ht="15" hidden="false" customHeight="false" outlineLevel="0" collapsed="false">
      <c r="B269" s="34"/>
      <c r="C269" s="9"/>
      <c r="D269" s="13"/>
      <c r="E269" s="9"/>
      <c r="F269" s="19"/>
      <c r="G269" s="9"/>
    </row>
    <row r="270" customFormat="false" ht="15" hidden="false" customHeight="false" outlineLevel="0" collapsed="false">
      <c r="B270" s="34"/>
      <c r="C270" s="9"/>
      <c r="D270" s="13"/>
      <c r="E270" s="9"/>
      <c r="F270" s="19"/>
      <c r="G270" s="9"/>
    </row>
    <row r="271" customFormat="false" ht="15" hidden="false" customHeight="false" outlineLevel="0" collapsed="false">
      <c r="B271" s="34"/>
      <c r="C271" s="9"/>
      <c r="D271" s="13"/>
      <c r="E271" s="9"/>
      <c r="F271" s="19"/>
      <c r="G271" s="9"/>
    </row>
    <row r="272" customFormat="false" ht="15" hidden="false" customHeight="false" outlineLevel="0" collapsed="false">
      <c r="B272" s="34"/>
      <c r="C272" s="9"/>
      <c r="D272" s="13"/>
      <c r="E272" s="9"/>
      <c r="F272" s="19"/>
      <c r="G272" s="9"/>
    </row>
    <row r="273" customFormat="false" ht="15" hidden="false" customHeight="false" outlineLevel="0" collapsed="false">
      <c r="B273" s="34"/>
      <c r="C273" s="9"/>
      <c r="D273" s="13"/>
      <c r="E273" s="9"/>
      <c r="F273" s="19"/>
      <c r="G273" s="9"/>
    </row>
    <row r="274" customFormat="false" ht="15" hidden="false" customHeight="false" outlineLevel="0" collapsed="false">
      <c r="B274" s="34"/>
      <c r="C274" s="9"/>
      <c r="D274" s="13"/>
      <c r="E274" s="9"/>
      <c r="F274" s="19"/>
      <c r="G274" s="9"/>
    </row>
    <row r="275" customFormat="false" ht="15" hidden="false" customHeight="false" outlineLevel="0" collapsed="false">
      <c r="B275" s="34"/>
      <c r="C275" s="9"/>
      <c r="D275" s="13"/>
      <c r="E275" s="9"/>
      <c r="F275" s="19"/>
      <c r="G275" s="9"/>
    </row>
    <row r="276" customFormat="false" ht="15" hidden="false" customHeight="false" outlineLevel="0" collapsed="false">
      <c r="B276" s="34"/>
      <c r="C276" s="9"/>
      <c r="D276" s="13"/>
      <c r="E276" s="9"/>
      <c r="F276" s="19"/>
      <c r="G276" s="9"/>
    </row>
    <row r="277" customFormat="false" ht="15" hidden="false" customHeight="false" outlineLevel="0" collapsed="false">
      <c r="B277" s="34"/>
      <c r="C277" s="9"/>
      <c r="D277" s="13"/>
      <c r="E277" s="9"/>
      <c r="F277" s="19"/>
      <c r="G277" s="9"/>
    </row>
    <row r="278" customFormat="false" ht="15" hidden="false" customHeight="false" outlineLevel="0" collapsed="false">
      <c r="B278" s="34"/>
      <c r="C278" s="9"/>
      <c r="D278" s="13"/>
      <c r="E278" s="9"/>
      <c r="F278" s="19"/>
      <c r="G278" s="9"/>
    </row>
    <row r="279" customFormat="false" ht="15" hidden="false" customHeight="false" outlineLevel="0" collapsed="false">
      <c r="B279" s="34"/>
      <c r="C279" s="9"/>
      <c r="D279" s="13"/>
      <c r="E279" s="9"/>
      <c r="F279" s="19"/>
      <c r="G279" s="9"/>
    </row>
    <row r="280" customFormat="false" ht="15" hidden="false" customHeight="false" outlineLevel="0" collapsed="false">
      <c r="B280" s="34"/>
      <c r="C280" s="9"/>
      <c r="D280" s="13"/>
      <c r="E280" s="9"/>
      <c r="F280" s="19"/>
      <c r="G280" s="9"/>
    </row>
    <row r="281" customFormat="false" ht="15" hidden="false" customHeight="false" outlineLevel="0" collapsed="false">
      <c r="B281" s="34"/>
      <c r="C281" s="9"/>
      <c r="D281" s="13"/>
      <c r="E281" s="9"/>
      <c r="F281" s="19"/>
      <c r="G281" s="9"/>
    </row>
    <row r="282" customFormat="false" ht="15" hidden="false" customHeight="false" outlineLevel="0" collapsed="false">
      <c r="B282" s="34"/>
      <c r="C282" s="9"/>
      <c r="D282" s="13"/>
      <c r="E282" s="9"/>
      <c r="F282" s="19"/>
      <c r="G282" s="9"/>
    </row>
    <row r="283" customFormat="false" ht="15" hidden="false" customHeight="false" outlineLevel="0" collapsed="false">
      <c r="B283" s="34"/>
      <c r="C283" s="9"/>
      <c r="D283" s="13"/>
      <c r="E283" s="9"/>
      <c r="F283" s="19"/>
      <c r="G283" s="9"/>
    </row>
    <row r="284" customFormat="false" ht="15" hidden="false" customHeight="false" outlineLevel="0" collapsed="false">
      <c r="B284" s="34"/>
      <c r="C284" s="9"/>
      <c r="D284" s="13"/>
      <c r="E284" s="9"/>
      <c r="F284" s="19"/>
      <c r="G284" s="9"/>
    </row>
    <row r="285" customFormat="false" ht="15" hidden="false" customHeight="false" outlineLevel="0" collapsed="false">
      <c r="B285" s="34"/>
      <c r="C285" s="9"/>
      <c r="D285" s="13"/>
      <c r="E285" s="9"/>
      <c r="F285" s="19"/>
      <c r="G285" s="9"/>
    </row>
    <row r="286" customFormat="false" ht="15" hidden="false" customHeight="false" outlineLevel="0" collapsed="false">
      <c r="B286" s="34"/>
      <c r="C286" s="9"/>
      <c r="D286" s="13"/>
      <c r="E286" s="9"/>
      <c r="F286" s="19"/>
      <c r="G286" s="9"/>
    </row>
    <row r="287" customFormat="false" ht="15" hidden="false" customHeight="false" outlineLevel="0" collapsed="false">
      <c r="B287" s="34"/>
      <c r="C287" s="9"/>
      <c r="D287" s="13"/>
      <c r="E287" s="9"/>
      <c r="F287" s="19"/>
      <c r="G287" s="9"/>
    </row>
    <row r="288" customFormat="false" ht="15" hidden="false" customHeight="false" outlineLevel="0" collapsed="false">
      <c r="B288" s="34"/>
      <c r="C288" s="9"/>
      <c r="D288" s="13"/>
      <c r="E288" s="9"/>
      <c r="F288" s="19"/>
      <c r="G288" s="9"/>
    </row>
    <row r="289" customFormat="false" ht="15" hidden="false" customHeight="false" outlineLevel="0" collapsed="false">
      <c r="B289" s="34"/>
      <c r="C289" s="9"/>
      <c r="D289" s="13"/>
      <c r="E289" s="9"/>
      <c r="F289" s="19"/>
      <c r="G289" s="9"/>
    </row>
    <row r="290" customFormat="false" ht="15" hidden="false" customHeight="false" outlineLevel="0" collapsed="false">
      <c r="B290" s="34"/>
      <c r="C290" s="9"/>
      <c r="D290" s="13"/>
      <c r="E290" s="9"/>
      <c r="F290" s="19"/>
      <c r="G290" s="9"/>
    </row>
    <row r="291" customFormat="false" ht="15" hidden="false" customHeight="false" outlineLevel="0" collapsed="false">
      <c r="B291" s="34"/>
      <c r="C291" s="9"/>
      <c r="D291" s="13"/>
      <c r="E291" s="9"/>
      <c r="F291" s="19"/>
      <c r="G291" s="9"/>
    </row>
    <row r="292" customFormat="false" ht="15" hidden="false" customHeight="false" outlineLevel="0" collapsed="false">
      <c r="B292" s="34"/>
      <c r="C292" s="9"/>
      <c r="D292" s="13"/>
      <c r="E292" s="9"/>
      <c r="F292" s="19"/>
      <c r="G292" s="9"/>
    </row>
    <row r="293" customFormat="false" ht="15" hidden="false" customHeight="false" outlineLevel="0" collapsed="false">
      <c r="B293" s="34"/>
      <c r="C293" s="9"/>
      <c r="D293" s="13"/>
      <c r="E293" s="9"/>
      <c r="F293" s="19"/>
      <c r="G293" s="9"/>
    </row>
    <row r="294" customFormat="false" ht="15" hidden="false" customHeight="false" outlineLevel="0" collapsed="false">
      <c r="B294" s="34"/>
      <c r="C294" s="9"/>
      <c r="D294" s="13"/>
      <c r="E294" s="9"/>
      <c r="F294" s="19"/>
      <c r="G294" s="9"/>
    </row>
    <row r="295" customFormat="false" ht="15" hidden="false" customHeight="false" outlineLevel="0" collapsed="false">
      <c r="B295" s="34"/>
      <c r="C295" s="9"/>
      <c r="D295" s="13"/>
      <c r="E295" s="9"/>
      <c r="F295" s="19"/>
      <c r="G295" s="9"/>
    </row>
    <row r="296" customFormat="false" ht="15" hidden="false" customHeight="false" outlineLevel="0" collapsed="false">
      <c r="B296" s="34"/>
      <c r="C296" s="9"/>
      <c r="D296" s="13"/>
      <c r="E296" s="9"/>
      <c r="F296" s="19"/>
      <c r="G296" s="9"/>
    </row>
    <row r="297" customFormat="false" ht="15" hidden="false" customHeight="false" outlineLevel="0" collapsed="false">
      <c r="B297" s="34"/>
      <c r="C297" s="9"/>
      <c r="D297" s="13"/>
      <c r="E297" s="9"/>
      <c r="F297" s="19"/>
      <c r="G297" s="9"/>
    </row>
    <row r="298" customFormat="false" ht="15" hidden="false" customHeight="false" outlineLevel="0" collapsed="false">
      <c r="B298" s="34"/>
      <c r="C298" s="9"/>
      <c r="D298" s="13"/>
      <c r="E298" s="9"/>
      <c r="F298" s="19"/>
      <c r="G298" s="9"/>
    </row>
    <row r="299" customFormat="false" ht="15" hidden="false" customHeight="false" outlineLevel="0" collapsed="false">
      <c r="B299" s="34"/>
      <c r="C299" s="9"/>
      <c r="D299" s="13"/>
      <c r="E299" s="9"/>
      <c r="F299" s="19"/>
      <c r="G299" s="9"/>
    </row>
    <row r="300" customFormat="false" ht="15" hidden="false" customHeight="false" outlineLevel="0" collapsed="false">
      <c r="B300" s="34"/>
      <c r="C300" s="9"/>
      <c r="D300" s="13"/>
      <c r="E300" s="9"/>
      <c r="F300" s="19"/>
      <c r="G300" s="9"/>
    </row>
    <row r="301" customFormat="false" ht="15" hidden="false" customHeight="false" outlineLevel="0" collapsed="false">
      <c r="B301" s="34"/>
      <c r="C301" s="9"/>
      <c r="D301" s="13"/>
      <c r="E301" s="9"/>
      <c r="F301" s="19"/>
      <c r="G301" s="9"/>
    </row>
    <row r="302" customFormat="false" ht="15" hidden="false" customHeight="false" outlineLevel="0" collapsed="false">
      <c r="B302" s="34"/>
      <c r="C302" s="9"/>
      <c r="D302" s="13"/>
      <c r="E302" s="9"/>
      <c r="F302" s="19"/>
      <c r="G302" s="9"/>
    </row>
    <row r="303" customFormat="false" ht="15" hidden="false" customHeight="false" outlineLevel="0" collapsed="false">
      <c r="B303" s="34"/>
      <c r="C303" s="9"/>
      <c r="D303" s="13"/>
      <c r="E303" s="9"/>
      <c r="F303" s="19"/>
      <c r="G303" s="9"/>
    </row>
    <row r="304" customFormat="false" ht="15" hidden="false" customHeight="false" outlineLevel="0" collapsed="false">
      <c r="B304" s="34"/>
      <c r="C304" s="9"/>
      <c r="D304" s="13"/>
      <c r="E304" s="9"/>
      <c r="F304" s="19"/>
      <c r="G304" s="9"/>
    </row>
    <row r="305" customFormat="false" ht="15" hidden="false" customHeight="false" outlineLevel="0" collapsed="false">
      <c r="B305" s="34"/>
      <c r="C305" s="9"/>
      <c r="D305" s="13"/>
      <c r="E305" s="9"/>
      <c r="F305" s="19"/>
      <c r="G305" s="9"/>
    </row>
    <row r="306" customFormat="false" ht="15" hidden="false" customHeight="false" outlineLevel="0" collapsed="false">
      <c r="B306" s="34"/>
      <c r="C306" s="9"/>
      <c r="D306" s="13"/>
      <c r="E306" s="9"/>
      <c r="F306" s="19"/>
      <c r="G306" s="9"/>
    </row>
    <row r="307" customFormat="false" ht="15" hidden="false" customHeight="false" outlineLevel="0" collapsed="false">
      <c r="B307" s="34"/>
      <c r="C307" s="9"/>
      <c r="D307" s="13"/>
      <c r="E307" s="9"/>
      <c r="F307" s="19"/>
      <c r="G307" s="9"/>
    </row>
    <row r="308" customFormat="false" ht="15" hidden="false" customHeight="false" outlineLevel="0" collapsed="false">
      <c r="B308" s="34"/>
      <c r="C308" s="9"/>
      <c r="D308" s="13"/>
      <c r="E308" s="9"/>
      <c r="F308" s="19"/>
      <c r="G308" s="9"/>
    </row>
    <row r="309" customFormat="false" ht="15" hidden="false" customHeight="false" outlineLevel="0" collapsed="false">
      <c r="B309" s="34"/>
      <c r="C309" s="9"/>
      <c r="D309" s="13"/>
      <c r="E309" s="9"/>
      <c r="F309" s="19"/>
      <c r="G309" s="9"/>
    </row>
    <row r="310" customFormat="false" ht="15" hidden="false" customHeight="false" outlineLevel="0" collapsed="false">
      <c r="B310" s="34"/>
      <c r="C310" s="9"/>
      <c r="D310" s="13"/>
      <c r="E310" s="9"/>
      <c r="F310" s="19"/>
      <c r="G310" s="9"/>
    </row>
    <row r="311" customFormat="false" ht="15" hidden="false" customHeight="false" outlineLevel="0" collapsed="false">
      <c r="B311" s="34"/>
      <c r="C311" s="9"/>
      <c r="D311" s="13"/>
      <c r="E311" s="9"/>
      <c r="F311" s="19"/>
      <c r="G311" s="9"/>
    </row>
    <row r="312" customFormat="false" ht="15" hidden="false" customHeight="false" outlineLevel="0" collapsed="false">
      <c r="B312" s="34"/>
      <c r="C312" s="9"/>
      <c r="D312" s="13"/>
      <c r="E312" s="9"/>
      <c r="F312" s="19"/>
      <c r="G312" s="9"/>
    </row>
    <row r="313" customFormat="false" ht="15" hidden="false" customHeight="false" outlineLevel="0" collapsed="false">
      <c r="B313" s="34"/>
      <c r="C313" s="9"/>
      <c r="D313" s="13"/>
      <c r="E313" s="9"/>
      <c r="F313" s="19"/>
      <c r="G313" s="9"/>
    </row>
    <row r="314" customFormat="false" ht="15" hidden="false" customHeight="false" outlineLevel="0" collapsed="false">
      <c r="B314" s="34"/>
      <c r="C314" s="9"/>
      <c r="D314" s="13"/>
      <c r="E314" s="9"/>
      <c r="F314" s="19"/>
      <c r="G314" s="9"/>
    </row>
    <row r="315" customFormat="false" ht="15" hidden="false" customHeight="false" outlineLevel="0" collapsed="false">
      <c r="B315" s="34"/>
      <c r="C315" s="9"/>
      <c r="D315" s="13"/>
      <c r="E315" s="9"/>
      <c r="F315" s="19"/>
      <c r="G315" s="9"/>
    </row>
    <row r="316" customFormat="false" ht="15" hidden="false" customHeight="false" outlineLevel="0" collapsed="false">
      <c r="B316" s="34"/>
      <c r="C316" s="9"/>
      <c r="D316" s="13"/>
      <c r="E316" s="9"/>
      <c r="F316" s="19"/>
      <c r="G316" s="9"/>
    </row>
    <row r="317" customFormat="false" ht="15" hidden="false" customHeight="false" outlineLevel="0" collapsed="false">
      <c r="B317" s="34"/>
      <c r="C317" s="9"/>
      <c r="D317" s="13"/>
      <c r="E317" s="9"/>
      <c r="F317" s="19"/>
      <c r="G317" s="9"/>
    </row>
    <row r="318" customFormat="false" ht="15" hidden="false" customHeight="false" outlineLevel="0" collapsed="false">
      <c r="B318" s="34"/>
      <c r="C318" s="9"/>
      <c r="D318" s="13"/>
      <c r="E318" s="9"/>
      <c r="F318" s="19"/>
      <c r="G318" s="9"/>
    </row>
    <row r="319" customFormat="false" ht="15" hidden="false" customHeight="false" outlineLevel="0" collapsed="false">
      <c r="B319" s="34"/>
      <c r="C319" s="9"/>
      <c r="D319" s="13"/>
      <c r="E319" s="9"/>
      <c r="F319" s="19"/>
      <c r="G319" s="9"/>
    </row>
    <row r="320" customFormat="false" ht="15" hidden="false" customHeight="false" outlineLevel="0" collapsed="false">
      <c r="B320" s="34"/>
      <c r="C320" s="9"/>
      <c r="D320" s="13"/>
      <c r="E320" s="9"/>
      <c r="F320" s="19"/>
      <c r="G320" s="9"/>
    </row>
    <row r="321" customFormat="false" ht="15" hidden="false" customHeight="false" outlineLevel="0" collapsed="false">
      <c r="B321" s="34"/>
      <c r="C321" s="9"/>
      <c r="D321" s="13"/>
      <c r="E321" s="9"/>
      <c r="F321" s="19"/>
      <c r="G321" s="9"/>
    </row>
    <row r="322" customFormat="false" ht="15" hidden="false" customHeight="false" outlineLevel="0" collapsed="false">
      <c r="B322" s="34"/>
      <c r="C322" s="9"/>
      <c r="D322" s="13"/>
      <c r="E322" s="9"/>
      <c r="F322" s="19"/>
      <c r="G322" s="9"/>
    </row>
    <row r="323" customFormat="false" ht="15" hidden="false" customHeight="false" outlineLevel="0" collapsed="false">
      <c r="B323" s="34"/>
      <c r="C323" s="9"/>
      <c r="D323" s="13"/>
      <c r="E323" s="9"/>
      <c r="F323" s="19"/>
      <c r="G323" s="9"/>
    </row>
    <row r="324" customFormat="false" ht="15" hidden="false" customHeight="false" outlineLevel="0" collapsed="false">
      <c r="B324" s="34"/>
      <c r="C324" s="9"/>
      <c r="D324" s="13"/>
      <c r="E324" s="9"/>
      <c r="F324" s="19"/>
      <c r="G324" s="9"/>
    </row>
    <row r="325" customFormat="false" ht="15" hidden="false" customHeight="false" outlineLevel="0" collapsed="false">
      <c r="B325" s="34"/>
      <c r="C325" s="9"/>
      <c r="D325" s="13"/>
      <c r="E325" s="9"/>
      <c r="F325" s="19"/>
      <c r="G325" s="9"/>
    </row>
    <row r="326" customFormat="false" ht="15" hidden="false" customHeight="false" outlineLevel="0" collapsed="false">
      <c r="B326" s="34"/>
      <c r="C326" s="9"/>
      <c r="D326" s="13"/>
      <c r="E326" s="9"/>
      <c r="F326" s="19"/>
      <c r="G326" s="9"/>
    </row>
    <row r="327" customFormat="false" ht="15" hidden="false" customHeight="false" outlineLevel="0" collapsed="false">
      <c r="B327" s="34"/>
      <c r="C327" s="9"/>
      <c r="D327" s="13"/>
      <c r="E327" s="9"/>
      <c r="F327" s="19"/>
      <c r="G327" s="9"/>
    </row>
    <row r="328" customFormat="false" ht="15" hidden="false" customHeight="false" outlineLevel="0" collapsed="false">
      <c r="B328" s="34"/>
      <c r="C328" s="9"/>
      <c r="D328" s="13"/>
      <c r="E328" s="9"/>
      <c r="F328" s="19"/>
      <c r="G328" s="9"/>
    </row>
    <row r="329" customFormat="false" ht="15" hidden="false" customHeight="false" outlineLevel="0" collapsed="false">
      <c r="B329" s="34"/>
      <c r="C329" s="9"/>
      <c r="D329" s="13"/>
      <c r="E329" s="9"/>
      <c r="F329" s="19"/>
      <c r="G329" s="9"/>
    </row>
    <row r="330" customFormat="false" ht="15" hidden="false" customHeight="false" outlineLevel="0" collapsed="false">
      <c r="B330" s="34"/>
      <c r="C330" s="9"/>
      <c r="D330" s="13"/>
      <c r="E330" s="9"/>
      <c r="F330" s="19"/>
      <c r="G330" s="9"/>
    </row>
    <row r="331" customFormat="false" ht="15" hidden="false" customHeight="false" outlineLevel="0" collapsed="false">
      <c r="B331" s="34"/>
      <c r="C331" s="9"/>
      <c r="D331" s="13"/>
      <c r="E331" s="9"/>
      <c r="F331" s="19"/>
      <c r="G331" s="9"/>
    </row>
    <row r="332" customFormat="false" ht="15" hidden="false" customHeight="false" outlineLevel="0" collapsed="false">
      <c r="B332" s="34"/>
      <c r="C332" s="9"/>
      <c r="D332" s="13"/>
      <c r="E332" s="9"/>
      <c r="F332" s="19"/>
      <c r="G332" s="9"/>
    </row>
    <row r="333" customFormat="false" ht="15" hidden="false" customHeight="false" outlineLevel="0" collapsed="false">
      <c r="B333" s="34"/>
      <c r="C333" s="9"/>
      <c r="D333" s="13"/>
      <c r="E333" s="9"/>
      <c r="F333" s="19"/>
      <c r="G333" s="9"/>
    </row>
    <row r="334" customFormat="false" ht="15" hidden="false" customHeight="false" outlineLevel="0" collapsed="false">
      <c r="B334" s="34"/>
      <c r="C334" s="9"/>
      <c r="D334" s="13"/>
      <c r="E334" s="9"/>
      <c r="F334" s="19"/>
      <c r="G334" s="9"/>
    </row>
    <row r="335" customFormat="false" ht="15" hidden="false" customHeight="false" outlineLevel="0" collapsed="false">
      <c r="B335" s="34"/>
      <c r="C335" s="9"/>
      <c r="D335" s="13"/>
      <c r="E335" s="9"/>
      <c r="F335" s="19"/>
      <c r="G335" s="9"/>
    </row>
    <row r="336" customFormat="false" ht="15" hidden="false" customHeight="false" outlineLevel="0" collapsed="false">
      <c r="B336" s="34"/>
      <c r="C336" s="9"/>
      <c r="D336" s="13"/>
      <c r="E336" s="9"/>
      <c r="F336" s="19"/>
      <c r="G336" s="9"/>
    </row>
    <row r="337" customFormat="false" ht="15" hidden="false" customHeight="false" outlineLevel="0" collapsed="false">
      <c r="B337" s="34"/>
      <c r="C337" s="9"/>
      <c r="D337" s="13"/>
      <c r="E337" s="9"/>
      <c r="F337" s="19"/>
      <c r="G337" s="9"/>
    </row>
    <row r="338" customFormat="false" ht="15" hidden="false" customHeight="false" outlineLevel="0" collapsed="false">
      <c r="B338" s="34"/>
      <c r="C338" s="9"/>
      <c r="D338" s="13"/>
      <c r="E338" s="9"/>
      <c r="F338" s="19"/>
      <c r="G338" s="9"/>
    </row>
    <row r="339" customFormat="false" ht="15" hidden="false" customHeight="false" outlineLevel="0" collapsed="false">
      <c r="B339" s="34"/>
      <c r="C339" s="9"/>
      <c r="D339" s="13"/>
      <c r="E339" s="9"/>
      <c r="F339" s="19"/>
      <c r="G339" s="9"/>
    </row>
    <row r="340" customFormat="false" ht="15" hidden="false" customHeight="false" outlineLevel="0" collapsed="false">
      <c r="B340" s="34"/>
      <c r="C340" s="9"/>
      <c r="D340" s="13"/>
      <c r="E340" s="9"/>
      <c r="F340" s="19"/>
      <c r="G340" s="9"/>
    </row>
    <row r="341" customFormat="false" ht="15" hidden="false" customHeight="false" outlineLevel="0" collapsed="false">
      <c r="B341" s="34"/>
      <c r="C341" s="9"/>
      <c r="D341" s="13"/>
      <c r="E341" s="9"/>
      <c r="F341" s="19"/>
      <c r="G341" s="9"/>
    </row>
    <row r="342" customFormat="false" ht="15" hidden="false" customHeight="false" outlineLevel="0" collapsed="false">
      <c r="B342" s="34"/>
      <c r="C342" s="9"/>
      <c r="D342" s="13"/>
      <c r="E342" s="9"/>
      <c r="F342" s="19"/>
      <c r="G342" s="9"/>
    </row>
    <row r="343" customFormat="false" ht="15" hidden="false" customHeight="false" outlineLevel="0" collapsed="false">
      <c r="B343" s="34"/>
      <c r="C343" s="9"/>
      <c r="D343" s="13"/>
      <c r="E343" s="9"/>
      <c r="F343" s="19"/>
      <c r="G343" s="9"/>
    </row>
    <row r="344" customFormat="false" ht="15" hidden="false" customHeight="false" outlineLevel="0" collapsed="false">
      <c r="B344" s="34"/>
      <c r="C344" s="9"/>
      <c r="D344" s="13"/>
      <c r="E344" s="9"/>
      <c r="F344" s="19"/>
      <c r="G344" s="9"/>
    </row>
    <row r="345" customFormat="false" ht="15" hidden="false" customHeight="false" outlineLevel="0" collapsed="false">
      <c r="B345" s="34"/>
      <c r="C345" s="9"/>
      <c r="D345" s="13"/>
      <c r="E345" s="9"/>
      <c r="F345" s="19"/>
      <c r="G345" s="9"/>
    </row>
    <row r="346" customFormat="false" ht="15" hidden="false" customHeight="false" outlineLevel="0" collapsed="false">
      <c r="B346" s="34"/>
      <c r="C346" s="9"/>
      <c r="D346" s="13"/>
      <c r="E346" s="9"/>
      <c r="F346" s="19"/>
      <c r="G346" s="9"/>
    </row>
    <row r="347" customFormat="false" ht="15" hidden="false" customHeight="false" outlineLevel="0" collapsed="false">
      <c r="B347" s="34"/>
      <c r="C347" s="9"/>
      <c r="D347" s="13"/>
      <c r="E347" s="9"/>
      <c r="F347" s="19"/>
      <c r="G347" s="9"/>
    </row>
    <row r="348" customFormat="false" ht="15" hidden="false" customHeight="false" outlineLevel="0" collapsed="false">
      <c r="B348" s="34"/>
      <c r="C348" s="9"/>
      <c r="D348" s="13"/>
      <c r="E348" s="9"/>
      <c r="F348" s="19"/>
      <c r="G348" s="9"/>
    </row>
    <row r="349" customFormat="false" ht="15" hidden="false" customHeight="false" outlineLevel="0" collapsed="false">
      <c r="B349" s="34"/>
      <c r="C349" s="9"/>
      <c r="D349" s="13"/>
      <c r="E349" s="9"/>
      <c r="F349" s="19"/>
      <c r="G349" s="9"/>
    </row>
    <row r="350" customFormat="false" ht="15" hidden="false" customHeight="false" outlineLevel="0" collapsed="false">
      <c r="B350" s="34"/>
      <c r="C350" s="9"/>
      <c r="D350" s="13"/>
      <c r="E350" s="9"/>
      <c r="F350" s="19"/>
      <c r="G350" s="9"/>
    </row>
    <row r="351" customFormat="false" ht="15" hidden="false" customHeight="false" outlineLevel="0" collapsed="false">
      <c r="B351" s="34"/>
      <c r="C351" s="9"/>
      <c r="D351" s="13"/>
      <c r="E351" s="9"/>
      <c r="F351" s="19"/>
      <c r="G351" s="9"/>
    </row>
    <row r="352" customFormat="false" ht="15" hidden="false" customHeight="false" outlineLevel="0" collapsed="false">
      <c r="B352" s="34"/>
      <c r="C352" s="9"/>
      <c r="D352" s="13"/>
      <c r="E352" s="9"/>
      <c r="F352" s="19"/>
      <c r="G352" s="9"/>
    </row>
    <row r="353" customFormat="false" ht="15" hidden="false" customHeight="false" outlineLevel="0" collapsed="false">
      <c r="B353" s="34"/>
      <c r="C353" s="9"/>
      <c r="D353" s="13"/>
      <c r="E353" s="9"/>
      <c r="F353" s="19"/>
      <c r="G353" s="9"/>
    </row>
    <row r="354" customFormat="false" ht="15" hidden="false" customHeight="false" outlineLevel="0" collapsed="false">
      <c r="B354" s="34"/>
      <c r="C354" s="9"/>
      <c r="D354" s="13"/>
      <c r="E354" s="9"/>
      <c r="F354" s="19"/>
      <c r="G354" s="9"/>
    </row>
    <row r="355" customFormat="false" ht="15" hidden="false" customHeight="false" outlineLevel="0" collapsed="false">
      <c r="B355" s="34"/>
      <c r="C355" s="9"/>
      <c r="D355" s="13"/>
      <c r="E355" s="9"/>
      <c r="F355" s="19"/>
      <c r="G355" s="9"/>
    </row>
    <row r="356" customFormat="false" ht="15" hidden="false" customHeight="false" outlineLevel="0" collapsed="false">
      <c r="B356" s="34"/>
      <c r="C356" s="9"/>
      <c r="D356" s="13"/>
      <c r="E356" s="9"/>
      <c r="F356" s="19"/>
      <c r="G356" s="9"/>
    </row>
    <row r="357" customFormat="false" ht="15" hidden="false" customHeight="false" outlineLevel="0" collapsed="false">
      <c r="B357" s="34"/>
      <c r="C357" s="9"/>
      <c r="D357" s="13"/>
      <c r="E357" s="9"/>
      <c r="F357" s="19"/>
      <c r="G357" s="9"/>
    </row>
    <row r="358" customFormat="false" ht="15" hidden="false" customHeight="false" outlineLevel="0" collapsed="false">
      <c r="B358" s="34"/>
      <c r="C358" s="9"/>
      <c r="D358" s="13"/>
      <c r="E358" s="9"/>
      <c r="F358" s="19"/>
      <c r="G358" s="9"/>
    </row>
    <row r="359" customFormat="false" ht="15" hidden="false" customHeight="false" outlineLevel="0" collapsed="false">
      <c r="B359" s="34"/>
      <c r="C359" s="9"/>
      <c r="D359" s="13"/>
      <c r="E359" s="9"/>
      <c r="F359" s="19"/>
      <c r="G359" s="9"/>
    </row>
    <row r="360" customFormat="false" ht="15" hidden="false" customHeight="false" outlineLevel="0" collapsed="false">
      <c r="B360" s="34"/>
      <c r="C360" s="9"/>
      <c r="D360" s="13"/>
      <c r="E360" s="9"/>
      <c r="F360" s="19"/>
      <c r="G360" s="9"/>
    </row>
    <row r="361" customFormat="false" ht="15" hidden="false" customHeight="false" outlineLevel="0" collapsed="false">
      <c r="B361" s="34"/>
      <c r="C361" s="9"/>
      <c r="D361" s="13"/>
      <c r="E361" s="9"/>
      <c r="F361" s="19"/>
      <c r="G361" s="9"/>
    </row>
    <row r="362" customFormat="false" ht="15" hidden="false" customHeight="false" outlineLevel="0" collapsed="false">
      <c r="B362" s="34"/>
      <c r="C362" s="9"/>
      <c r="D362" s="13"/>
      <c r="E362" s="9"/>
      <c r="F362" s="19"/>
      <c r="G362" s="9"/>
    </row>
    <row r="363" customFormat="false" ht="15" hidden="false" customHeight="false" outlineLevel="0" collapsed="false">
      <c r="B363" s="34"/>
      <c r="C363" s="9"/>
      <c r="D363" s="13"/>
      <c r="E363" s="9"/>
      <c r="F363" s="19"/>
      <c r="G363" s="9"/>
    </row>
    <row r="364" customFormat="false" ht="15" hidden="false" customHeight="false" outlineLevel="0" collapsed="false">
      <c r="B364" s="34"/>
      <c r="C364" s="9"/>
      <c r="D364" s="13"/>
      <c r="E364" s="9"/>
      <c r="F364" s="19"/>
      <c r="G364" s="9"/>
    </row>
    <row r="365" customFormat="false" ht="15" hidden="false" customHeight="false" outlineLevel="0" collapsed="false">
      <c r="B365" s="34"/>
      <c r="C365" s="9"/>
      <c r="D365" s="13"/>
      <c r="E365" s="9"/>
      <c r="F365" s="19"/>
      <c r="G365" s="9"/>
    </row>
    <row r="366" customFormat="false" ht="15" hidden="false" customHeight="false" outlineLevel="0" collapsed="false">
      <c r="B366" s="34"/>
      <c r="C366" s="9"/>
      <c r="D366" s="13"/>
      <c r="E366" s="9"/>
      <c r="F366" s="19"/>
      <c r="G366" s="9"/>
    </row>
    <row r="367" customFormat="false" ht="15" hidden="false" customHeight="false" outlineLevel="0" collapsed="false">
      <c r="B367" s="34"/>
      <c r="C367" s="9"/>
      <c r="D367" s="13"/>
      <c r="E367" s="9"/>
      <c r="F367" s="19"/>
      <c r="G367" s="9"/>
    </row>
    <row r="368" customFormat="false" ht="15" hidden="false" customHeight="false" outlineLevel="0" collapsed="false">
      <c r="B368" s="34"/>
      <c r="C368" s="9"/>
      <c r="D368" s="13"/>
      <c r="E368" s="9"/>
      <c r="F368" s="19"/>
      <c r="G368" s="9"/>
    </row>
    <row r="369" customFormat="false" ht="15" hidden="false" customHeight="false" outlineLevel="0" collapsed="false">
      <c r="B369" s="34"/>
      <c r="C369" s="9"/>
      <c r="D369" s="13"/>
      <c r="E369" s="9"/>
      <c r="F369" s="19"/>
      <c r="G369" s="9"/>
    </row>
    <row r="370" customFormat="false" ht="15" hidden="false" customHeight="false" outlineLevel="0" collapsed="false">
      <c r="B370" s="34"/>
      <c r="C370" s="9"/>
      <c r="D370" s="13"/>
      <c r="E370" s="9"/>
      <c r="F370" s="19"/>
      <c r="G370" s="9"/>
    </row>
    <row r="371" customFormat="false" ht="15" hidden="false" customHeight="false" outlineLevel="0" collapsed="false">
      <c r="B371" s="34"/>
      <c r="C371" s="9"/>
      <c r="D371" s="13"/>
      <c r="E371" s="9"/>
      <c r="F371" s="19"/>
      <c r="G371" s="9"/>
    </row>
    <row r="372" customFormat="false" ht="15" hidden="false" customHeight="false" outlineLevel="0" collapsed="false">
      <c r="B372" s="34"/>
      <c r="C372" s="9"/>
      <c r="D372" s="13"/>
      <c r="E372" s="9"/>
      <c r="F372" s="19"/>
      <c r="G372" s="9"/>
    </row>
    <row r="373" customFormat="false" ht="15" hidden="false" customHeight="false" outlineLevel="0" collapsed="false">
      <c r="B373" s="34"/>
      <c r="C373" s="9"/>
      <c r="D373" s="13"/>
      <c r="E373" s="9"/>
      <c r="F373" s="19"/>
      <c r="G373" s="9"/>
    </row>
    <row r="374" customFormat="false" ht="15" hidden="false" customHeight="false" outlineLevel="0" collapsed="false">
      <c r="B374" s="34"/>
      <c r="C374" s="9"/>
      <c r="D374" s="13"/>
      <c r="E374" s="9"/>
      <c r="F374" s="19"/>
      <c r="G374" s="9"/>
    </row>
    <row r="375" customFormat="false" ht="15" hidden="false" customHeight="false" outlineLevel="0" collapsed="false">
      <c r="B375" s="34"/>
      <c r="C375" s="9"/>
      <c r="D375" s="13"/>
      <c r="E375" s="9"/>
      <c r="F375" s="19"/>
      <c r="G375" s="9"/>
    </row>
    <row r="376" customFormat="false" ht="15" hidden="false" customHeight="false" outlineLevel="0" collapsed="false">
      <c r="B376" s="34"/>
      <c r="C376" s="9"/>
      <c r="D376" s="13"/>
      <c r="E376" s="9"/>
      <c r="F376" s="19"/>
      <c r="G376" s="9"/>
    </row>
    <row r="377" customFormat="false" ht="15" hidden="false" customHeight="false" outlineLevel="0" collapsed="false">
      <c r="B377" s="34"/>
      <c r="C377" s="9"/>
      <c r="D377" s="13"/>
      <c r="E377" s="9"/>
      <c r="F377" s="19"/>
      <c r="G377" s="9"/>
    </row>
    <row r="378" customFormat="false" ht="15" hidden="false" customHeight="false" outlineLevel="0" collapsed="false">
      <c r="B378" s="34"/>
      <c r="C378" s="9"/>
      <c r="D378" s="13"/>
      <c r="E378" s="9"/>
      <c r="F378" s="19"/>
      <c r="G378" s="9"/>
    </row>
    <row r="379" customFormat="false" ht="15" hidden="false" customHeight="false" outlineLevel="0" collapsed="false">
      <c r="B379" s="34"/>
      <c r="C379" s="9"/>
      <c r="D379" s="13"/>
      <c r="E379" s="9"/>
      <c r="F379" s="19"/>
      <c r="G379" s="9"/>
    </row>
    <row r="380" customFormat="false" ht="15" hidden="false" customHeight="false" outlineLevel="0" collapsed="false">
      <c r="B380" s="34"/>
      <c r="C380" s="9"/>
      <c r="D380" s="13"/>
      <c r="E380" s="9"/>
      <c r="F380" s="19"/>
      <c r="G380" s="9"/>
    </row>
    <row r="381" customFormat="false" ht="15" hidden="false" customHeight="false" outlineLevel="0" collapsed="false">
      <c r="B381" s="34"/>
      <c r="C381" s="9"/>
      <c r="D381" s="13"/>
      <c r="E381" s="9"/>
      <c r="F381" s="19"/>
      <c r="G381" s="9"/>
    </row>
    <row r="382" customFormat="false" ht="15" hidden="false" customHeight="false" outlineLevel="0" collapsed="false">
      <c r="B382" s="34"/>
      <c r="C382" s="9"/>
      <c r="D382" s="13"/>
      <c r="E382" s="9"/>
      <c r="F382" s="19"/>
      <c r="G382" s="9"/>
    </row>
    <row r="383" customFormat="false" ht="15" hidden="false" customHeight="false" outlineLevel="0" collapsed="false">
      <c r="B383" s="34"/>
      <c r="C383" s="9"/>
      <c r="D383" s="13"/>
      <c r="E383" s="9"/>
      <c r="F383" s="19"/>
      <c r="G383" s="9"/>
    </row>
    <row r="384" customFormat="false" ht="15" hidden="false" customHeight="false" outlineLevel="0" collapsed="false">
      <c r="B384" s="34"/>
      <c r="C384" s="9"/>
      <c r="D384" s="13"/>
      <c r="E384" s="9"/>
      <c r="F384" s="19"/>
      <c r="G384" s="9"/>
    </row>
    <row r="385" customFormat="false" ht="15" hidden="false" customHeight="false" outlineLevel="0" collapsed="false">
      <c r="B385" s="34"/>
      <c r="C385" s="9"/>
      <c r="D385" s="13"/>
      <c r="E385" s="9"/>
      <c r="F385" s="19"/>
      <c r="G385" s="9"/>
    </row>
    <row r="386" customFormat="false" ht="15" hidden="false" customHeight="false" outlineLevel="0" collapsed="false">
      <c r="B386" s="34"/>
      <c r="C386" s="9"/>
      <c r="D386" s="13"/>
      <c r="E386" s="9"/>
      <c r="F386" s="19"/>
      <c r="G386" s="9"/>
    </row>
    <row r="387" customFormat="false" ht="15" hidden="false" customHeight="false" outlineLevel="0" collapsed="false">
      <c r="B387" s="34"/>
      <c r="C387" s="9"/>
      <c r="D387" s="13"/>
      <c r="E387" s="9"/>
      <c r="F387" s="19"/>
      <c r="G387" s="9"/>
    </row>
    <row r="388" customFormat="false" ht="15" hidden="false" customHeight="false" outlineLevel="0" collapsed="false">
      <c r="B388" s="34"/>
      <c r="C388" s="9"/>
      <c r="D388" s="13"/>
      <c r="E388" s="9"/>
      <c r="F388" s="19"/>
      <c r="G388" s="9"/>
    </row>
    <row r="389" customFormat="false" ht="15" hidden="false" customHeight="false" outlineLevel="0" collapsed="false">
      <c r="B389" s="34"/>
      <c r="C389" s="9"/>
      <c r="D389" s="13"/>
      <c r="E389" s="9"/>
      <c r="F389" s="19"/>
      <c r="G389" s="9"/>
    </row>
    <row r="390" customFormat="false" ht="15" hidden="false" customHeight="false" outlineLevel="0" collapsed="false">
      <c r="B390" s="34"/>
      <c r="C390" s="9"/>
      <c r="D390" s="13"/>
      <c r="E390" s="9"/>
      <c r="F390" s="19"/>
      <c r="G390" s="9"/>
    </row>
    <row r="391" customFormat="false" ht="15" hidden="false" customHeight="false" outlineLevel="0" collapsed="false">
      <c r="B391" s="34"/>
      <c r="C391" s="9"/>
      <c r="D391" s="13"/>
      <c r="E391" s="9"/>
      <c r="F391" s="19"/>
      <c r="G391" s="9"/>
    </row>
    <row r="392" customFormat="false" ht="15" hidden="false" customHeight="false" outlineLevel="0" collapsed="false">
      <c r="B392" s="34"/>
      <c r="C392" s="9"/>
      <c r="D392" s="13"/>
      <c r="E392" s="9"/>
      <c r="F392" s="19"/>
      <c r="G392" s="9"/>
    </row>
    <row r="393" customFormat="false" ht="15" hidden="false" customHeight="false" outlineLevel="0" collapsed="false">
      <c r="B393" s="34"/>
      <c r="C393" s="9"/>
      <c r="D393" s="13"/>
      <c r="E393" s="9"/>
      <c r="F393" s="19"/>
      <c r="G393" s="9"/>
    </row>
    <row r="394" customFormat="false" ht="15" hidden="false" customHeight="false" outlineLevel="0" collapsed="false">
      <c r="B394" s="34"/>
      <c r="C394" s="9"/>
      <c r="D394" s="13"/>
      <c r="E394" s="9"/>
      <c r="F394" s="19"/>
      <c r="G394" s="9"/>
    </row>
    <row r="395" customFormat="false" ht="15" hidden="false" customHeight="false" outlineLevel="0" collapsed="false">
      <c r="B395" s="34"/>
      <c r="C395" s="9"/>
      <c r="D395" s="13"/>
      <c r="E395" s="9"/>
      <c r="F395" s="19"/>
      <c r="G395" s="9"/>
    </row>
    <row r="396" customFormat="false" ht="15" hidden="false" customHeight="false" outlineLevel="0" collapsed="false">
      <c r="B396" s="34"/>
      <c r="C396" s="9"/>
      <c r="D396" s="13"/>
      <c r="E396" s="9"/>
      <c r="F396" s="19"/>
      <c r="G396" s="9"/>
    </row>
    <row r="397" customFormat="false" ht="15" hidden="false" customHeight="false" outlineLevel="0" collapsed="false">
      <c r="B397" s="34"/>
      <c r="C397" s="9"/>
      <c r="D397" s="13"/>
      <c r="E397" s="9"/>
      <c r="F397" s="19"/>
      <c r="G397" s="9"/>
    </row>
    <row r="398" customFormat="false" ht="15" hidden="false" customHeight="false" outlineLevel="0" collapsed="false">
      <c r="B398" s="34"/>
      <c r="C398" s="9"/>
      <c r="D398" s="13"/>
      <c r="E398" s="9"/>
      <c r="F398" s="19"/>
      <c r="G398" s="9"/>
    </row>
    <row r="399" customFormat="false" ht="15" hidden="false" customHeight="false" outlineLevel="0" collapsed="false">
      <c r="B399" s="34"/>
      <c r="C399" s="9"/>
      <c r="D399" s="13"/>
      <c r="E399" s="9"/>
      <c r="F399" s="19"/>
      <c r="G399" s="9"/>
    </row>
    <row r="400" customFormat="false" ht="15" hidden="false" customHeight="false" outlineLevel="0" collapsed="false">
      <c r="B400" s="34"/>
      <c r="C400" s="9"/>
      <c r="D400" s="13"/>
      <c r="E400" s="9"/>
      <c r="F400" s="19"/>
      <c r="G400" s="9"/>
    </row>
    <row r="401" customFormat="false" ht="15" hidden="false" customHeight="false" outlineLevel="0" collapsed="false">
      <c r="B401" s="34"/>
      <c r="C401" s="9"/>
      <c r="D401" s="13"/>
      <c r="E401" s="9"/>
      <c r="F401" s="19"/>
      <c r="G401" s="9"/>
    </row>
    <row r="402" customFormat="false" ht="15" hidden="false" customHeight="false" outlineLevel="0" collapsed="false">
      <c r="B402" s="34"/>
      <c r="C402" s="9"/>
      <c r="D402" s="13"/>
      <c r="E402" s="9"/>
      <c r="F402" s="19"/>
      <c r="G402" s="9"/>
    </row>
    <row r="403" customFormat="false" ht="15" hidden="false" customHeight="false" outlineLevel="0" collapsed="false">
      <c r="B403" s="34"/>
      <c r="C403" s="9"/>
      <c r="D403" s="13"/>
      <c r="E403" s="9"/>
      <c r="F403" s="19"/>
      <c r="G403" s="9"/>
    </row>
    <row r="404" customFormat="false" ht="15" hidden="false" customHeight="false" outlineLevel="0" collapsed="false">
      <c r="B404" s="34"/>
      <c r="C404" s="9"/>
      <c r="D404" s="13"/>
      <c r="E404" s="9"/>
      <c r="F404" s="19"/>
      <c r="G404" s="9"/>
    </row>
    <row r="405" customFormat="false" ht="15" hidden="false" customHeight="false" outlineLevel="0" collapsed="false">
      <c r="B405" s="34"/>
      <c r="C405" s="9"/>
      <c r="D405" s="13"/>
      <c r="E405" s="9"/>
      <c r="F405" s="19"/>
      <c r="G405" s="9"/>
    </row>
    <row r="406" customFormat="false" ht="15" hidden="false" customHeight="false" outlineLevel="0" collapsed="false">
      <c r="B406" s="34"/>
      <c r="C406" s="9"/>
      <c r="D406" s="13"/>
      <c r="E406" s="9"/>
      <c r="F406" s="19"/>
      <c r="G406" s="9"/>
    </row>
    <row r="407" customFormat="false" ht="15" hidden="false" customHeight="false" outlineLevel="0" collapsed="false">
      <c r="B407" s="34"/>
      <c r="C407" s="9"/>
      <c r="D407" s="13"/>
      <c r="E407" s="9"/>
      <c r="F407" s="19"/>
      <c r="G407" s="9"/>
    </row>
    <row r="408" customFormat="false" ht="15" hidden="false" customHeight="false" outlineLevel="0" collapsed="false">
      <c r="B408" s="34"/>
      <c r="C408" s="9"/>
      <c r="D408" s="13"/>
      <c r="E408" s="9"/>
      <c r="F408" s="19"/>
      <c r="G408" s="9"/>
    </row>
    <row r="409" customFormat="false" ht="15" hidden="false" customHeight="false" outlineLevel="0" collapsed="false">
      <c r="B409" s="34"/>
      <c r="C409" s="9"/>
      <c r="D409" s="13"/>
      <c r="E409" s="9"/>
      <c r="F409" s="19"/>
      <c r="G409" s="9"/>
    </row>
    <row r="410" customFormat="false" ht="15" hidden="false" customHeight="false" outlineLevel="0" collapsed="false">
      <c r="B410" s="34"/>
      <c r="C410" s="9"/>
      <c r="D410" s="13"/>
      <c r="E410" s="9"/>
      <c r="F410" s="19"/>
      <c r="G410" s="9"/>
    </row>
    <row r="411" customFormat="false" ht="15" hidden="false" customHeight="false" outlineLevel="0" collapsed="false">
      <c r="B411" s="34"/>
      <c r="C411" s="9"/>
      <c r="D411" s="13"/>
      <c r="E411" s="9"/>
      <c r="F411" s="19"/>
      <c r="G411" s="9"/>
    </row>
    <row r="412" customFormat="false" ht="15" hidden="false" customHeight="false" outlineLevel="0" collapsed="false">
      <c r="B412" s="34"/>
      <c r="C412" s="9"/>
      <c r="D412" s="13"/>
      <c r="E412" s="9"/>
      <c r="F412" s="19"/>
      <c r="G412" s="9"/>
    </row>
    <row r="413" customFormat="false" ht="15" hidden="false" customHeight="false" outlineLevel="0" collapsed="false">
      <c r="B413" s="34"/>
      <c r="C413" s="9"/>
      <c r="D413" s="13"/>
      <c r="E413" s="9"/>
      <c r="F413" s="19"/>
      <c r="G413" s="9"/>
    </row>
    <row r="414" customFormat="false" ht="15" hidden="false" customHeight="false" outlineLevel="0" collapsed="false">
      <c r="B414" s="34"/>
      <c r="C414" s="9"/>
      <c r="D414" s="13"/>
      <c r="E414" s="9"/>
      <c r="F414" s="19"/>
      <c r="G414" s="9"/>
    </row>
    <row r="415" customFormat="false" ht="15" hidden="false" customHeight="false" outlineLevel="0" collapsed="false">
      <c r="B415" s="34"/>
      <c r="C415" s="9"/>
      <c r="D415" s="13"/>
      <c r="E415" s="9"/>
      <c r="F415" s="19"/>
      <c r="G415" s="9"/>
    </row>
    <row r="416" customFormat="false" ht="15" hidden="false" customHeight="false" outlineLevel="0" collapsed="false">
      <c r="B416" s="34"/>
      <c r="C416" s="9"/>
      <c r="D416" s="13"/>
      <c r="E416" s="9"/>
      <c r="F416" s="19"/>
      <c r="G416" s="9"/>
    </row>
    <row r="417" customFormat="false" ht="15" hidden="false" customHeight="false" outlineLevel="0" collapsed="false">
      <c r="B417" s="34"/>
      <c r="C417" s="9"/>
      <c r="D417" s="13"/>
      <c r="E417" s="9"/>
      <c r="F417" s="19"/>
      <c r="G417" s="9"/>
    </row>
    <row r="418" customFormat="false" ht="15" hidden="false" customHeight="false" outlineLevel="0" collapsed="false">
      <c r="B418" s="34"/>
      <c r="C418" s="9"/>
      <c r="D418" s="13"/>
      <c r="E418" s="9"/>
      <c r="F418" s="19"/>
      <c r="G418" s="9"/>
    </row>
    <row r="419" customFormat="false" ht="15" hidden="false" customHeight="false" outlineLevel="0" collapsed="false">
      <c r="B419" s="34"/>
      <c r="C419" s="9"/>
      <c r="D419" s="13"/>
      <c r="E419" s="9"/>
      <c r="F419" s="19"/>
      <c r="G419" s="9"/>
    </row>
    <row r="420" customFormat="false" ht="15" hidden="false" customHeight="false" outlineLevel="0" collapsed="false">
      <c r="B420" s="34"/>
      <c r="C420" s="9"/>
      <c r="D420" s="13"/>
      <c r="E420" s="9"/>
      <c r="F420" s="19"/>
      <c r="G420" s="9"/>
    </row>
    <row r="421" customFormat="false" ht="15" hidden="false" customHeight="false" outlineLevel="0" collapsed="false">
      <c r="B421" s="34"/>
      <c r="C421" s="9"/>
      <c r="D421" s="13"/>
      <c r="E421" s="9"/>
      <c r="F421" s="19"/>
      <c r="G421" s="9"/>
    </row>
    <row r="422" customFormat="false" ht="15" hidden="false" customHeight="false" outlineLevel="0" collapsed="false">
      <c r="B422" s="34"/>
      <c r="C422" s="9"/>
      <c r="D422" s="13"/>
      <c r="E422" s="9"/>
      <c r="F422" s="19"/>
      <c r="G422" s="9"/>
    </row>
    <row r="423" customFormat="false" ht="15" hidden="false" customHeight="false" outlineLevel="0" collapsed="false">
      <c r="B423" s="34"/>
      <c r="C423" s="9"/>
      <c r="D423" s="13"/>
      <c r="E423" s="9"/>
      <c r="F423" s="19"/>
      <c r="G423" s="9"/>
    </row>
    <row r="424" customFormat="false" ht="15" hidden="false" customHeight="false" outlineLevel="0" collapsed="false">
      <c r="B424" s="34"/>
      <c r="C424" s="9"/>
      <c r="D424" s="13"/>
      <c r="E424" s="9"/>
      <c r="F424" s="19"/>
      <c r="G424" s="9"/>
    </row>
    <row r="425" customFormat="false" ht="15" hidden="false" customHeight="false" outlineLevel="0" collapsed="false">
      <c r="B425" s="34"/>
      <c r="C425" s="9"/>
      <c r="D425" s="13"/>
      <c r="E425" s="9"/>
      <c r="F425" s="19"/>
      <c r="G425" s="9"/>
    </row>
    <row r="426" customFormat="false" ht="15" hidden="false" customHeight="false" outlineLevel="0" collapsed="false">
      <c r="B426" s="34"/>
      <c r="C426" s="9"/>
      <c r="D426" s="13"/>
      <c r="E426" s="9"/>
      <c r="F426" s="19"/>
      <c r="G426" s="9"/>
    </row>
    <row r="427" customFormat="false" ht="15" hidden="false" customHeight="false" outlineLevel="0" collapsed="false">
      <c r="B427" s="34"/>
      <c r="C427" s="9"/>
      <c r="D427" s="13"/>
      <c r="E427" s="9"/>
      <c r="F427" s="19"/>
      <c r="G427" s="9"/>
    </row>
    <row r="428" customFormat="false" ht="15" hidden="false" customHeight="false" outlineLevel="0" collapsed="false">
      <c r="B428" s="34"/>
      <c r="C428" s="9"/>
      <c r="D428" s="13"/>
      <c r="E428" s="9"/>
      <c r="F428" s="19"/>
      <c r="G428" s="9"/>
    </row>
    <row r="429" customFormat="false" ht="15" hidden="false" customHeight="false" outlineLevel="0" collapsed="false">
      <c r="B429" s="34"/>
      <c r="C429" s="9"/>
      <c r="D429" s="13"/>
      <c r="E429" s="9"/>
      <c r="F429" s="19"/>
      <c r="G429" s="9"/>
    </row>
    <row r="430" customFormat="false" ht="15" hidden="false" customHeight="false" outlineLevel="0" collapsed="false">
      <c r="B430" s="34"/>
      <c r="C430" s="9"/>
      <c r="D430" s="13"/>
      <c r="E430" s="9"/>
      <c r="F430" s="19"/>
      <c r="G430" s="9"/>
    </row>
    <row r="431" customFormat="false" ht="15" hidden="false" customHeight="false" outlineLevel="0" collapsed="false">
      <c r="B431" s="34"/>
      <c r="C431" s="9"/>
      <c r="D431" s="13"/>
      <c r="E431" s="9"/>
      <c r="F431" s="19"/>
      <c r="G431" s="9"/>
    </row>
    <row r="432" customFormat="false" ht="15" hidden="false" customHeight="false" outlineLevel="0" collapsed="false">
      <c r="B432" s="34"/>
      <c r="C432" s="9"/>
      <c r="D432" s="13"/>
      <c r="E432" s="9"/>
      <c r="F432" s="19"/>
      <c r="G432" s="9"/>
    </row>
    <row r="433" customFormat="false" ht="15" hidden="false" customHeight="false" outlineLevel="0" collapsed="false">
      <c r="B433" s="34"/>
      <c r="C433" s="9"/>
      <c r="D433" s="13"/>
      <c r="E433" s="9"/>
      <c r="F433" s="19"/>
      <c r="G433" s="9"/>
    </row>
    <row r="434" customFormat="false" ht="15" hidden="false" customHeight="false" outlineLevel="0" collapsed="false">
      <c r="B434" s="34"/>
      <c r="C434" s="9"/>
      <c r="D434" s="13"/>
      <c r="E434" s="9"/>
      <c r="F434" s="19"/>
      <c r="G434" s="9"/>
    </row>
    <row r="435" customFormat="false" ht="15" hidden="false" customHeight="false" outlineLevel="0" collapsed="false">
      <c r="B435" s="34"/>
      <c r="C435" s="9"/>
      <c r="D435" s="13"/>
      <c r="E435" s="9"/>
      <c r="F435" s="19"/>
      <c r="G435" s="9"/>
    </row>
    <row r="436" customFormat="false" ht="15" hidden="false" customHeight="false" outlineLevel="0" collapsed="false">
      <c r="B436" s="34"/>
      <c r="C436" s="9"/>
      <c r="D436" s="13"/>
      <c r="E436" s="9"/>
      <c r="F436" s="19"/>
      <c r="G436" s="9"/>
    </row>
    <row r="437" customFormat="false" ht="15" hidden="false" customHeight="false" outlineLevel="0" collapsed="false">
      <c r="B437" s="34"/>
      <c r="C437" s="9"/>
      <c r="D437" s="13"/>
      <c r="E437" s="9"/>
      <c r="F437" s="19"/>
      <c r="G437" s="9"/>
    </row>
    <row r="438" customFormat="false" ht="15" hidden="false" customHeight="false" outlineLevel="0" collapsed="false">
      <c r="B438" s="34"/>
      <c r="C438" s="9"/>
      <c r="D438" s="13"/>
      <c r="E438" s="9"/>
      <c r="F438" s="19"/>
      <c r="G438" s="9"/>
    </row>
    <row r="439" customFormat="false" ht="15" hidden="false" customHeight="false" outlineLevel="0" collapsed="false">
      <c r="B439" s="34"/>
      <c r="C439" s="9"/>
      <c r="D439" s="13"/>
      <c r="E439" s="9"/>
      <c r="F439" s="19"/>
      <c r="G439" s="9"/>
    </row>
    <row r="440" customFormat="false" ht="15" hidden="false" customHeight="false" outlineLevel="0" collapsed="false">
      <c r="B440" s="34"/>
      <c r="C440" s="9"/>
      <c r="D440" s="13"/>
      <c r="E440" s="9"/>
      <c r="F440" s="19"/>
      <c r="G440" s="9"/>
    </row>
    <row r="441" customFormat="false" ht="15" hidden="false" customHeight="false" outlineLevel="0" collapsed="false">
      <c r="B441" s="34"/>
      <c r="C441" s="9"/>
      <c r="D441" s="13"/>
      <c r="E441" s="9"/>
      <c r="F441" s="19"/>
      <c r="G441" s="9"/>
    </row>
    <row r="442" customFormat="false" ht="15" hidden="false" customHeight="false" outlineLevel="0" collapsed="false">
      <c r="B442" s="34"/>
      <c r="C442" s="9"/>
      <c r="D442" s="13"/>
      <c r="E442" s="9"/>
      <c r="F442" s="19"/>
      <c r="G442" s="9"/>
    </row>
    <row r="443" customFormat="false" ht="15" hidden="false" customHeight="false" outlineLevel="0" collapsed="false">
      <c r="B443" s="34"/>
      <c r="C443" s="9"/>
      <c r="D443" s="13"/>
      <c r="E443" s="9"/>
      <c r="F443" s="19"/>
      <c r="G443" s="9"/>
    </row>
    <row r="444" customFormat="false" ht="15" hidden="false" customHeight="false" outlineLevel="0" collapsed="false">
      <c r="B444" s="34"/>
      <c r="C444" s="9"/>
      <c r="D444" s="13"/>
      <c r="E444" s="9"/>
      <c r="F444" s="19"/>
      <c r="G444" s="9"/>
    </row>
    <row r="445" customFormat="false" ht="15" hidden="false" customHeight="false" outlineLevel="0" collapsed="false">
      <c r="B445" s="34"/>
      <c r="C445" s="9"/>
      <c r="D445" s="13"/>
      <c r="E445" s="9"/>
      <c r="F445" s="19"/>
      <c r="G445" s="9"/>
    </row>
    <row r="446" customFormat="false" ht="15" hidden="false" customHeight="false" outlineLevel="0" collapsed="false">
      <c r="B446" s="34"/>
      <c r="C446" s="9"/>
      <c r="D446" s="13"/>
      <c r="E446" s="9"/>
      <c r="F446" s="19"/>
      <c r="G446" s="9"/>
    </row>
    <row r="447" customFormat="false" ht="15" hidden="false" customHeight="false" outlineLevel="0" collapsed="false">
      <c r="B447" s="34"/>
      <c r="C447" s="9"/>
      <c r="D447" s="13"/>
      <c r="E447" s="9"/>
      <c r="F447" s="19"/>
      <c r="G447" s="9"/>
    </row>
    <row r="448" customFormat="false" ht="15" hidden="false" customHeight="false" outlineLevel="0" collapsed="false">
      <c r="B448" s="34"/>
      <c r="C448" s="9"/>
      <c r="D448" s="13"/>
      <c r="E448" s="9"/>
      <c r="F448" s="19"/>
      <c r="G448" s="9"/>
    </row>
    <row r="449" customFormat="false" ht="15" hidden="false" customHeight="false" outlineLevel="0" collapsed="false">
      <c r="B449" s="34"/>
      <c r="C449" s="9"/>
      <c r="D449" s="13"/>
      <c r="E449" s="9"/>
      <c r="F449" s="19"/>
      <c r="G449" s="9"/>
    </row>
    <row r="450" customFormat="false" ht="15" hidden="false" customHeight="false" outlineLevel="0" collapsed="false">
      <c r="B450" s="34"/>
      <c r="C450" s="9"/>
      <c r="D450" s="13"/>
      <c r="E450" s="9"/>
      <c r="F450" s="19"/>
      <c r="G450" s="9"/>
    </row>
    <row r="451" customFormat="false" ht="15" hidden="false" customHeight="false" outlineLevel="0" collapsed="false">
      <c r="B451" s="34"/>
      <c r="C451" s="9"/>
      <c r="D451" s="13"/>
      <c r="E451" s="9"/>
      <c r="F451" s="19"/>
      <c r="G451" s="9"/>
    </row>
    <row r="452" customFormat="false" ht="15" hidden="false" customHeight="false" outlineLevel="0" collapsed="false">
      <c r="B452" s="34"/>
      <c r="C452" s="9"/>
      <c r="D452" s="13"/>
      <c r="E452" s="9"/>
      <c r="F452" s="19"/>
      <c r="G452" s="9"/>
    </row>
    <row r="453" customFormat="false" ht="15" hidden="false" customHeight="false" outlineLevel="0" collapsed="false">
      <c r="B453" s="34"/>
      <c r="C453" s="9"/>
      <c r="D453" s="13"/>
      <c r="E453" s="9"/>
      <c r="F453" s="19"/>
      <c r="G453" s="9"/>
    </row>
    <row r="454" customFormat="false" ht="15" hidden="false" customHeight="false" outlineLevel="0" collapsed="false">
      <c r="B454" s="34"/>
      <c r="C454" s="9"/>
      <c r="D454" s="13"/>
      <c r="E454" s="9"/>
      <c r="F454" s="19"/>
      <c r="G454" s="9"/>
    </row>
    <row r="455" customFormat="false" ht="15" hidden="false" customHeight="false" outlineLevel="0" collapsed="false">
      <c r="B455" s="34"/>
      <c r="C455" s="9"/>
      <c r="D455" s="13"/>
      <c r="E455" s="9"/>
      <c r="F455" s="19"/>
      <c r="G455" s="9"/>
    </row>
    <row r="456" customFormat="false" ht="15" hidden="false" customHeight="false" outlineLevel="0" collapsed="false">
      <c r="B456" s="34"/>
      <c r="C456" s="9"/>
      <c r="D456" s="13"/>
      <c r="E456" s="9"/>
      <c r="F456" s="19"/>
      <c r="G456" s="9"/>
    </row>
    <row r="457" customFormat="false" ht="15" hidden="false" customHeight="false" outlineLevel="0" collapsed="false">
      <c r="B457" s="34"/>
      <c r="C457" s="9"/>
      <c r="D457" s="13"/>
      <c r="E457" s="9"/>
      <c r="F457" s="19"/>
      <c r="G457" s="9"/>
    </row>
    <row r="458" customFormat="false" ht="15" hidden="false" customHeight="false" outlineLevel="0" collapsed="false">
      <c r="B458" s="34"/>
      <c r="C458" s="9"/>
      <c r="D458" s="13"/>
      <c r="E458" s="9"/>
      <c r="F458" s="19"/>
      <c r="G458" s="9"/>
    </row>
    <row r="459" customFormat="false" ht="15" hidden="false" customHeight="false" outlineLevel="0" collapsed="false">
      <c r="B459" s="34"/>
      <c r="C459" s="9"/>
      <c r="D459" s="13"/>
      <c r="E459" s="9"/>
      <c r="F459" s="19"/>
      <c r="G459" s="9"/>
    </row>
    <row r="460" customFormat="false" ht="15" hidden="false" customHeight="false" outlineLevel="0" collapsed="false">
      <c r="B460" s="34"/>
      <c r="C460" s="9"/>
      <c r="D460" s="13"/>
      <c r="E460" s="9"/>
      <c r="F460" s="19"/>
      <c r="G460" s="9"/>
    </row>
    <row r="461" customFormat="false" ht="15" hidden="false" customHeight="false" outlineLevel="0" collapsed="false">
      <c r="B461" s="34"/>
      <c r="C461" s="9"/>
      <c r="D461" s="13"/>
      <c r="E461" s="9"/>
      <c r="F461" s="19"/>
      <c r="G461" s="9"/>
    </row>
    <row r="462" customFormat="false" ht="15" hidden="false" customHeight="false" outlineLevel="0" collapsed="false">
      <c r="B462" s="34"/>
      <c r="C462" s="9"/>
      <c r="D462" s="13"/>
      <c r="E462" s="9"/>
      <c r="F462" s="19"/>
      <c r="G462" s="9"/>
    </row>
    <row r="463" customFormat="false" ht="15" hidden="false" customHeight="false" outlineLevel="0" collapsed="false">
      <c r="B463" s="34"/>
      <c r="C463" s="9"/>
      <c r="D463" s="13"/>
      <c r="E463" s="9"/>
      <c r="F463" s="19"/>
      <c r="G463" s="9"/>
    </row>
    <row r="464" customFormat="false" ht="15" hidden="false" customHeight="false" outlineLevel="0" collapsed="false">
      <c r="B464" s="34"/>
      <c r="C464" s="9"/>
      <c r="D464" s="13"/>
      <c r="E464" s="9"/>
      <c r="F464" s="19"/>
      <c r="G464" s="9"/>
    </row>
    <row r="465" customFormat="false" ht="15" hidden="false" customHeight="false" outlineLevel="0" collapsed="false">
      <c r="B465" s="34"/>
      <c r="C465" s="9"/>
      <c r="D465" s="13"/>
      <c r="E465" s="9"/>
      <c r="F465" s="19"/>
      <c r="G465" s="9"/>
    </row>
    <row r="466" customFormat="false" ht="15" hidden="false" customHeight="false" outlineLevel="0" collapsed="false">
      <c r="B466" s="34"/>
      <c r="C466" s="9"/>
      <c r="D466" s="13"/>
      <c r="E466" s="9"/>
      <c r="F466" s="19"/>
      <c r="G466" s="9"/>
    </row>
    <row r="467" customFormat="false" ht="15" hidden="false" customHeight="false" outlineLevel="0" collapsed="false">
      <c r="B467" s="34"/>
      <c r="C467" s="9"/>
      <c r="D467" s="13"/>
      <c r="E467" s="9"/>
      <c r="F467" s="19"/>
      <c r="G467" s="9"/>
    </row>
    <row r="468" customFormat="false" ht="15" hidden="false" customHeight="false" outlineLevel="0" collapsed="false">
      <c r="B468" s="34"/>
      <c r="C468" s="9"/>
      <c r="D468" s="13"/>
      <c r="E468" s="9"/>
      <c r="F468" s="19"/>
      <c r="G468" s="9"/>
    </row>
    <row r="469" customFormat="false" ht="15" hidden="false" customHeight="false" outlineLevel="0" collapsed="false">
      <c r="B469" s="34"/>
      <c r="C469" s="9"/>
      <c r="D469" s="13"/>
      <c r="E469" s="9"/>
      <c r="F469" s="19"/>
      <c r="G469" s="9"/>
    </row>
    <row r="470" customFormat="false" ht="15" hidden="false" customHeight="false" outlineLevel="0" collapsed="false">
      <c r="B470" s="34"/>
      <c r="C470" s="9"/>
      <c r="D470" s="13"/>
      <c r="E470" s="9"/>
      <c r="F470" s="19"/>
      <c r="G470" s="9"/>
    </row>
    <row r="471" customFormat="false" ht="15" hidden="false" customHeight="false" outlineLevel="0" collapsed="false">
      <c r="B471" s="34"/>
      <c r="C471" s="9"/>
      <c r="D471" s="13"/>
      <c r="E471" s="9"/>
      <c r="F471" s="19"/>
      <c r="G471" s="9"/>
    </row>
    <row r="472" customFormat="false" ht="15" hidden="false" customHeight="false" outlineLevel="0" collapsed="false">
      <c r="B472" s="34"/>
      <c r="C472" s="9"/>
      <c r="D472" s="13"/>
      <c r="E472" s="9"/>
      <c r="F472" s="19"/>
      <c r="G472" s="9"/>
    </row>
    <row r="473" customFormat="false" ht="15" hidden="false" customHeight="false" outlineLevel="0" collapsed="false">
      <c r="B473" s="34"/>
      <c r="C473" s="9"/>
      <c r="D473" s="13"/>
      <c r="E473" s="9"/>
      <c r="F473" s="19"/>
      <c r="G473" s="9"/>
    </row>
    <row r="474" customFormat="false" ht="15" hidden="false" customHeight="false" outlineLevel="0" collapsed="false">
      <c r="B474" s="34"/>
      <c r="C474" s="9"/>
      <c r="D474" s="13"/>
      <c r="E474" s="9"/>
      <c r="F474" s="19"/>
      <c r="G474" s="9"/>
    </row>
    <row r="475" customFormat="false" ht="15" hidden="false" customHeight="false" outlineLevel="0" collapsed="false">
      <c r="B475" s="34"/>
      <c r="C475" s="9"/>
      <c r="D475" s="13"/>
      <c r="E475" s="9"/>
      <c r="F475" s="19"/>
      <c r="G475" s="9"/>
    </row>
    <row r="476" customFormat="false" ht="15" hidden="false" customHeight="false" outlineLevel="0" collapsed="false">
      <c r="B476" s="34"/>
      <c r="C476" s="9"/>
      <c r="D476" s="13"/>
      <c r="E476" s="9"/>
      <c r="F476" s="19"/>
      <c r="G476" s="9"/>
    </row>
    <row r="477" customFormat="false" ht="15" hidden="false" customHeight="false" outlineLevel="0" collapsed="false">
      <c r="B477" s="34"/>
      <c r="C477" s="9"/>
      <c r="D477" s="13"/>
      <c r="E477" s="9"/>
      <c r="F477" s="19"/>
      <c r="G477" s="9"/>
    </row>
    <row r="478" customFormat="false" ht="15" hidden="false" customHeight="false" outlineLevel="0" collapsed="false">
      <c r="B478" s="34"/>
      <c r="C478" s="9"/>
      <c r="D478" s="13"/>
      <c r="E478" s="9"/>
      <c r="F478" s="19"/>
      <c r="G478" s="9"/>
    </row>
    <row r="479" customFormat="false" ht="15" hidden="false" customHeight="false" outlineLevel="0" collapsed="false">
      <c r="B479" s="34"/>
      <c r="C479" s="9"/>
      <c r="D479" s="13"/>
      <c r="E479" s="9"/>
      <c r="F479" s="19"/>
      <c r="G479" s="9"/>
    </row>
    <row r="480" customFormat="false" ht="15" hidden="false" customHeight="false" outlineLevel="0" collapsed="false">
      <c r="B480" s="34"/>
      <c r="C480" s="9"/>
      <c r="D480" s="13"/>
      <c r="E480" s="9"/>
      <c r="F480" s="19"/>
      <c r="G480" s="9"/>
    </row>
    <row r="481" customFormat="false" ht="15" hidden="false" customHeight="false" outlineLevel="0" collapsed="false">
      <c r="B481" s="34"/>
      <c r="C481" s="9"/>
      <c r="D481" s="13"/>
      <c r="E481" s="9"/>
      <c r="F481" s="19"/>
      <c r="G481" s="9"/>
    </row>
    <row r="482" customFormat="false" ht="15" hidden="false" customHeight="false" outlineLevel="0" collapsed="false">
      <c r="B482" s="34"/>
      <c r="C482" s="9"/>
      <c r="D482" s="13"/>
      <c r="E482" s="9"/>
      <c r="F482" s="19"/>
      <c r="G482" s="9"/>
    </row>
    <row r="483" customFormat="false" ht="15" hidden="false" customHeight="false" outlineLevel="0" collapsed="false">
      <c r="B483" s="34"/>
      <c r="C483" s="9"/>
      <c r="D483" s="13"/>
      <c r="E483" s="9"/>
      <c r="F483" s="19"/>
      <c r="G483" s="9"/>
    </row>
    <row r="484" customFormat="false" ht="15" hidden="false" customHeight="false" outlineLevel="0" collapsed="false">
      <c r="B484" s="34"/>
      <c r="C484" s="9"/>
      <c r="D484" s="13"/>
      <c r="E484" s="9"/>
      <c r="F484" s="19"/>
      <c r="G484" s="9"/>
    </row>
    <row r="485" customFormat="false" ht="15" hidden="false" customHeight="false" outlineLevel="0" collapsed="false">
      <c r="B485" s="34"/>
      <c r="C485" s="9"/>
      <c r="D485" s="13"/>
      <c r="E485" s="9"/>
      <c r="F485" s="19"/>
      <c r="G485" s="9"/>
    </row>
    <row r="486" customFormat="false" ht="15" hidden="false" customHeight="false" outlineLevel="0" collapsed="false">
      <c r="B486" s="34"/>
      <c r="C486" s="9"/>
      <c r="D486" s="13"/>
      <c r="E486" s="9"/>
      <c r="F486" s="19"/>
      <c r="G486" s="9"/>
    </row>
    <row r="487" customFormat="false" ht="15" hidden="false" customHeight="false" outlineLevel="0" collapsed="false">
      <c r="B487" s="34"/>
      <c r="C487" s="9"/>
      <c r="D487" s="13"/>
      <c r="E487" s="9"/>
      <c r="F487" s="19"/>
      <c r="G487" s="9"/>
    </row>
    <row r="488" customFormat="false" ht="15" hidden="false" customHeight="false" outlineLevel="0" collapsed="false">
      <c r="B488" s="34"/>
      <c r="C488" s="9"/>
      <c r="D488" s="13"/>
      <c r="E488" s="9"/>
      <c r="F488" s="19"/>
      <c r="G488" s="9"/>
    </row>
    <row r="489" customFormat="false" ht="15" hidden="false" customHeight="false" outlineLevel="0" collapsed="false">
      <c r="B489" s="34"/>
      <c r="C489" s="9"/>
      <c r="D489" s="13"/>
      <c r="E489" s="9"/>
      <c r="F489" s="19"/>
      <c r="G489" s="9"/>
    </row>
    <row r="490" customFormat="false" ht="15" hidden="false" customHeight="false" outlineLevel="0" collapsed="false">
      <c r="B490" s="34"/>
      <c r="C490" s="9"/>
      <c r="D490" s="13"/>
      <c r="E490" s="9"/>
      <c r="F490" s="19"/>
      <c r="G490" s="9"/>
    </row>
    <row r="491" customFormat="false" ht="15" hidden="false" customHeight="false" outlineLevel="0" collapsed="false">
      <c r="B491" s="34"/>
      <c r="C491" s="9"/>
      <c r="D491" s="13"/>
      <c r="E491" s="9"/>
      <c r="F491" s="19"/>
      <c r="G491" s="9"/>
    </row>
    <row r="492" customFormat="false" ht="15" hidden="false" customHeight="false" outlineLevel="0" collapsed="false">
      <c r="B492" s="34"/>
      <c r="C492" s="9"/>
      <c r="D492" s="13"/>
      <c r="E492" s="9"/>
      <c r="F492" s="19"/>
      <c r="G492" s="9"/>
    </row>
    <row r="493" customFormat="false" ht="15" hidden="false" customHeight="false" outlineLevel="0" collapsed="false">
      <c r="B493" s="34"/>
      <c r="C493" s="9"/>
      <c r="D493" s="13"/>
      <c r="E493" s="9"/>
      <c r="F493" s="19"/>
      <c r="G493" s="9"/>
    </row>
    <row r="494" customFormat="false" ht="15" hidden="false" customHeight="false" outlineLevel="0" collapsed="false">
      <c r="B494" s="34"/>
      <c r="C494" s="9"/>
      <c r="D494" s="13"/>
      <c r="E494" s="9"/>
      <c r="F494" s="19"/>
      <c r="G494" s="9"/>
    </row>
    <row r="495" customFormat="false" ht="15" hidden="false" customHeight="false" outlineLevel="0" collapsed="false">
      <c r="B495" s="34"/>
      <c r="C495" s="9"/>
      <c r="D495" s="13"/>
      <c r="E495" s="9"/>
      <c r="F495" s="19"/>
      <c r="G495" s="9"/>
    </row>
    <row r="496" customFormat="false" ht="15" hidden="false" customHeight="false" outlineLevel="0" collapsed="false">
      <c r="B496" s="34"/>
      <c r="C496" s="9"/>
      <c r="D496" s="13"/>
      <c r="E496" s="9"/>
      <c r="F496" s="19"/>
      <c r="G496" s="9"/>
    </row>
    <row r="497" customFormat="false" ht="15" hidden="false" customHeight="false" outlineLevel="0" collapsed="false">
      <c r="B497" s="34"/>
      <c r="C497" s="9"/>
      <c r="D497" s="13"/>
      <c r="E497" s="9"/>
      <c r="F497" s="19"/>
      <c r="G497" s="9"/>
    </row>
    <row r="498" customFormat="false" ht="15" hidden="false" customHeight="false" outlineLevel="0" collapsed="false">
      <c r="B498" s="34"/>
      <c r="C498" s="9"/>
      <c r="D498" s="13"/>
      <c r="E498" s="9"/>
      <c r="F498" s="19"/>
      <c r="G498" s="9"/>
    </row>
    <row r="499" customFormat="false" ht="15" hidden="false" customHeight="false" outlineLevel="0" collapsed="false">
      <c r="B499" s="34"/>
      <c r="C499" s="9"/>
      <c r="D499" s="13"/>
      <c r="E499" s="9"/>
      <c r="F499" s="19"/>
      <c r="G499" s="9"/>
    </row>
    <row r="500" customFormat="false" ht="15" hidden="false" customHeight="false" outlineLevel="0" collapsed="false">
      <c r="B500" s="34"/>
      <c r="C500" s="9"/>
      <c r="D500" s="13"/>
      <c r="E500" s="9"/>
      <c r="F500" s="19"/>
      <c r="G500" s="9"/>
    </row>
    <row r="501" customFormat="false" ht="15" hidden="false" customHeight="false" outlineLevel="0" collapsed="false">
      <c r="B501" s="34"/>
      <c r="C501" s="9"/>
      <c r="D501" s="13"/>
      <c r="E501" s="9"/>
      <c r="F501" s="19"/>
      <c r="G501" s="9"/>
    </row>
    <row r="502" customFormat="false" ht="15" hidden="false" customHeight="false" outlineLevel="0" collapsed="false">
      <c r="B502" s="34"/>
      <c r="C502" s="9"/>
      <c r="D502" s="13"/>
      <c r="E502" s="9"/>
      <c r="F502" s="19"/>
      <c r="G502" s="9"/>
    </row>
    <row r="503" customFormat="false" ht="15" hidden="false" customHeight="false" outlineLevel="0" collapsed="false">
      <c r="B503" s="34"/>
      <c r="C503" s="9"/>
      <c r="D503" s="13"/>
      <c r="E503" s="9"/>
      <c r="F503" s="19"/>
      <c r="G503" s="9"/>
    </row>
    <row r="504" customFormat="false" ht="15" hidden="false" customHeight="false" outlineLevel="0" collapsed="false">
      <c r="B504" s="34"/>
      <c r="C504" s="9"/>
      <c r="D504" s="13"/>
      <c r="E504" s="9"/>
      <c r="F504" s="19"/>
      <c r="G504" s="9"/>
    </row>
    <row r="505" customFormat="false" ht="15" hidden="false" customHeight="false" outlineLevel="0" collapsed="false">
      <c r="B505" s="34"/>
      <c r="C505" s="9"/>
      <c r="D505" s="13"/>
      <c r="E505" s="9"/>
      <c r="F505" s="19"/>
      <c r="G505" s="9"/>
    </row>
  </sheetData>
  <dataValidations count="2">
    <dataValidation allowBlank="true" errorStyle="stop" operator="between" showDropDown="false" showErrorMessage="false" showInputMessage="false" sqref="D6:D505" type="list">
      <formula1>"Income,Expense"</formula1>
      <formula2>0</formula2>
    </dataValidation>
    <dataValidation allowBlank="true" errorStyle="stop" operator="between" showDropDown="false" showErrorMessage="false" showInputMessage="false" sqref="E6:E505" type="list">
      <formula1>Setup!$F$8:$F$29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2026-10-29T22:54:06Z</dcterms:created>
  <dc:creator>openpyxl</dc:creator>
  <dc:description/>
  <dc:language>en-US</dc:language>
  <cp:lastModifiedBy/>
  <dcterms:modified xsi:type="dcterms:W3CDTF">2026-10-29T22:54:11Z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
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rip Overview" sheetId="2" state="visible" r:id="rId4"/>
    <sheet name="Itinerary" sheetId="3" state="visible" r:id="rId5"/>
    <sheet name="Budget" sheetId="4" state="visible" r:id="rId6"/>
    <sheet name="Expenses" sheetId="5" state="visible" r:id="rId7"/>
    <sheet name="Packing 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<sst xmlns="http://schemas.openxmlformats.org/spreadsheetml/2006/main" count="148" uniqueCount="117">
  <si>
    <t xml:space="preserve">Ultimate Trip Planner</t>
  </si>
  <si>
    <t xml:space="preserve">by The Geek Next Door Co.</t>
  </si>
  <si>
    <t xml:space="preserve">How to use this template</t>
  </si>
  <si>
    <t xml:space="preserve">1.  Fill in the Trip Overview tab: where you're going, dates, travellers and total budget. The countdown and trip length work themselves out.</t>
  </si>
  <si>
    <t xml:space="preserve">2.  Plan each day on the Itinerary tab — times, activities, addresses, booking references and costs.</t>
  </si>
  <si>
    <t xml:space="preserve">3.  Set a budget per category on the Budget tab. As you log spending on the Expenses tab, it tracks what's left.</t>
  </si>
  <si>
    <t xml:space="preserve">4.  Split costs with friends? Put who paid in the Expenses tab — the Budget tab shows how much each person paid.</t>
  </si>
  <si>
    <t xml:space="preserve">5.  Tick things off on the Packing List by choosing ✓ in the Packed column. The progress bar fills up as you go.</t>
  </si>
  <si>
    <t xml:space="preserve">Colour key</t>
  </si>
  <si>
    <t xml:space="preserve">  Pale yellow cells = type here. Everything else calculates automatically — no need to touch it.</t>
  </si>
  <si>
    <t xml:space="preserve">Works in Microsoft Excel and Google Sheets (File → Import, or open directly from Google Drive).</t>
  </si>
  <si>
    <t xml:space="preserve">The example rows are just there to show you the format — delete or overwrite them.</t>
  </si>
  <si>
    <t xml:space="preserve">Trip Overview</t>
  </si>
  <si>
    <t xml:space="preserve">The big picture. Fill in the yellow cells.</t>
  </si>
  <si>
    <t xml:space="preserve">Destination</t>
  </si>
  <si>
    <t xml:space="preserve">Lisbon, Portugal</t>
  </si>
  <si>
    <t xml:space="preserve">Start date</t>
  </si>
  <si>
    <t xml:space="preserve">End date</t>
  </si>
  <si>
    <t xml:space="preserve">Travellers (comma separated)</t>
  </si>
  <si>
    <t xml:space="preserve">Alex, Sam</t>
  </si>
  <si>
    <t xml:space="preserve">Total trip budget</t>
  </si>
  <si>
    <t xml:space="preserve">Accommodation</t>
  </si>
  <si>
    <t xml:space="preserve">Casa do Rio, Alfama</t>
  </si>
  <si>
    <t xml:space="preserve">Accommodation address / phone</t>
  </si>
  <si>
    <t xml:space="preserve">Rua de Example 12</t>
  </si>
  <si>
    <t xml:space="preserve">Flight out (number &amp; time)</t>
  </si>
  <si>
    <t xml:space="preserve">TP1331 · 08:40</t>
  </si>
  <si>
    <t xml:space="preserve">Flight back (number &amp; time)</t>
  </si>
  <si>
    <t xml:space="preserve">TP1336 · 19:15</t>
  </si>
  <si>
    <t xml:space="preserve">Emergency contact</t>
  </si>
  <si>
    <t xml:space="preserve">At a glance</t>
  </si>
  <si>
    <t xml:space="preserve">Days until you leave</t>
  </si>
  <si>
    <t xml:space="preserve">Trip length (nights)</t>
  </si>
  <si>
    <t xml:space="preserve">Budget</t>
  </si>
  <si>
    <t xml:space="preserve">Spent so far</t>
  </si>
  <si>
    <t xml:space="preserve">Remaining</t>
  </si>
  <si>
    <t xml:space="preserve">Daily spending allowance</t>
  </si>
  <si>
    <t xml:space="preserve">Packing progress</t>
  </si>
  <si>
    <t xml:space="preserve">Itinerary</t>
  </si>
  <si>
    <t xml:space="preserve">One row per plan. Day number fills in from the date.</t>
  </si>
  <si>
    <t xml:space="preserve">Day</t>
  </si>
  <si>
    <t xml:space="preserve">Date</t>
  </si>
  <si>
    <t xml:space="preserve">Time</t>
  </si>
  <si>
    <t xml:space="preserve">Activity</t>
  </si>
  <si>
    <t xml:space="preserve">Location / address</t>
  </si>
  <si>
    <t xml:space="preserve">Booking ref</t>
  </si>
  <si>
    <t xml:space="preserve">Cost</t>
  </si>
  <si>
    <t xml:space="preserve">Notes</t>
  </si>
  <si>
    <t xml:space="preserve">10:00</t>
  </si>
  <si>
    <t xml:space="preserve">Check in &amp; drop bags</t>
  </si>
  <si>
    <t xml:space="preserve">Casa do Rio</t>
  </si>
  <si>
    <t xml:space="preserve">CR-4471</t>
  </si>
  <si>
    <t xml:space="preserve">14:00</t>
  </si>
  <si>
    <t xml:space="preserve">Tram 28 ride</t>
  </si>
  <si>
    <t xml:space="preserve">Martim Moniz</t>
  </si>
  <si>
    <t xml:space="preserve">09:30</t>
  </si>
  <si>
    <t xml:space="preserve">Belém Tower &amp; pastries</t>
  </si>
  <si>
    <t xml:space="preserve">Belém</t>
  </si>
  <si>
    <t xml:space="preserve">BT-2219</t>
  </si>
  <si>
    <t xml:space="preserve">All day</t>
  </si>
  <si>
    <t xml:space="preserve">Day trip to Sintra</t>
  </si>
  <si>
    <t xml:space="preserve">Sintra</t>
  </si>
  <si>
    <t xml:space="preserve">Total</t>
  </si>
  <si>
    <t xml:space="preserve">Trip Budget</t>
  </si>
  <si>
    <t xml:space="preserve">Type a budget per category. Spent comes from the Expenses tab.</t>
  </si>
  <si>
    <t xml:space="preserve">Category</t>
  </si>
  <si>
    <t xml:space="preserve">Spent</t>
  </si>
  <si>
    <t xml:space="preserve">Left</t>
  </si>
  <si>
    <t xml:space="preserve">Traveller</t>
  </si>
  <si>
    <t xml:space="preserve">Paid</t>
  </si>
  <si>
    <t xml:space="preserve">Flights</t>
  </si>
  <si>
    <t xml:space="preserve">Alex</t>
  </si>
  <si>
    <t xml:space="preserve">Sam</t>
  </si>
  <si>
    <t xml:space="preserve">Transport</t>
  </si>
  <si>
    <t xml:space="preserve">Food &amp; drink</t>
  </si>
  <si>
    <t xml:space="preserve">Activities</t>
  </si>
  <si>
    <t xml:space="preserve">Shopping</t>
  </si>
  <si>
    <t xml:space="preserve">Insurance</t>
  </si>
  <si>
    <t xml:space="preserve">Fair share each</t>
  </si>
  <si>
    <t xml:space="preserve">Other</t>
  </si>
  <si>
    <t xml:space="preserve">Paid more than their share? They're owed the difference.</t>
  </si>
  <si>
    <t xml:space="preserve">Expenses</t>
  </si>
  <si>
    <t xml:space="preserve">Log what you actually spend. Category and Paid by feed the Budget tab.</t>
  </si>
  <si>
    <t xml:space="preserve">Item</t>
  </si>
  <si>
    <t xml:space="preserve">Amount</t>
  </si>
  <si>
    <t xml:space="preserve">Paid by</t>
  </si>
  <si>
    <t xml:space="preserve">Return flights x2</t>
  </si>
  <si>
    <t xml:space="preserve">6 nights apartment</t>
  </si>
  <si>
    <t xml:space="preserve">Airport taxi</t>
  </si>
  <si>
    <t xml:space="preserve">Packing List</t>
  </si>
  <si>
    <t xml:space="preserve">Choose ✓ when an item is in the bag.</t>
  </si>
  <si>
    <t xml:space="preserve">Packed</t>
  </si>
  <si>
    <t xml:space="preserve">Passport</t>
  </si>
  <si>
    <t xml:space="preserve">Documents</t>
  </si>
  <si>
    <t xml:space="preserve">✓</t>
  </si>
  <si>
    <t xml:space="preserve">Travel insurance docs</t>
  </si>
  <si>
    <t xml:space="preserve">Boarding passes</t>
  </si>
  <si>
    <t xml:space="preserve">Bank cards &amp; some cash</t>
  </si>
  <si>
    <t xml:space="preserve">Phone charger</t>
  </si>
  <si>
    <t xml:space="preserve">Tech</t>
  </si>
  <si>
    <t xml:space="preserve">Plug adapter</t>
  </si>
  <si>
    <t xml:space="preserve">Headphones</t>
  </si>
  <si>
    <t xml:space="preserve">Power bank</t>
  </si>
  <si>
    <t xml:space="preserve">Toothbrush &amp; toothpaste</t>
  </si>
  <si>
    <t xml:space="preserve">Toiletries</t>
  </si>
  <si>
    <t xml:space="preserve">Sunscreen</t>
  </si>
  <si>
    <t xml:space="preserve">Medication</t>
  </si>
  <si>
    <t xml:space="preserve">T-shirts</t>
  </si>
  <si>
    <t xml:space="preserve">Clothes</t>
  </si>
  <si>
    <t xml:space="preserve">Trousers / shorts</t>
  </si>
  <si>
    <t xml:space="preserve">Underwear &amp; socks</t>
  </si>
  <si>
    <t xml:space="preserve">Comfy walking shoes</t>
  </si>
  <si>
    <t xml:space="preserve">Light jacket</t>
  </si>
  <si>
    <t xml:space="preserve">Sunglasses</t>
  </si>
  <si>
    <t xml:space="preserve">Extras</t>
  </si>
  <si>
    <t xml:space="preserve">Reusable water bottle</t>
  </si>
  <si>
    <t xml:space="preserve">Book / Kindle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</si>
</sst>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\ yyyy"/>
    <numFmt numFmtId="166" formatCode="\$#,##0.00;&quot;-$&quot;#,##0.00;\-"/>
    <numFmt numFmtId="167" formatCode="0"/>
    <numFmt numFmtId="168" formatCode="0%"/>
    <numFmt numFmtId="169" formatCode="ddd\ dd\ m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1D1A"/>
      <name val="Arial"/>
      <family val="0"/>
      <charset val="1"/>
    </font>
    <font>
      <i val="true"/>
      <sz val="10"/>
      <color rgb="FF5A544B"/>
      <name val="Arial"/>
      <family val="0"/>
      <charset val="1"/>
    </font>
    <font>
      <b val="true"/>
      <sz val="14"/>
      <color rgb="FF1F1D1A"/>
      <name val="Arial"/>
      <family val="0"/>
      <charset val="1"/>
    </font>
    <font>
      <sz val="11"/>
      <color rgb="FF1F1D1A"/>
      <name val="Arial"/>
      <family val="0"/>
      <charset val="1"/>
    </font>
    <font>
      <b val="true"/>
      <sz val="11"/>
      <color rgb="FF1F1D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D6452F"/>
      <name val="Arial"/>
      <family val="0"/>
      <charset val="1"/>
    </font>
    <font>
      <i val="true"/>
      <sz val="9"/>
      <color rgb="FF8A83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3F9B5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452F"/>
        <bgColor rgb="FFAB4744"/>
      </patternFill>
    </fill>
    <fill>
      <patternFill patternType="solid">
        <fgColor rgb="FFF2B632"/>
        <bgColor rgb="FFFF9900"/>
      </patternFill>
    </fill>
    <fill>
      <patternFill patternType="solid">
        <fgColor rgb="FF2F6FB5"/>
        <bgColor rgb="FF4672A8"/>
      </patternFill>
    </fill>
    <fill>
      <patternFill patternType="solid">
        <fgColor rgb="FFF7F3EA"/>
        <bgColor rgb="FFF3EFE6"/>
      </patternFill>
    </fill>
    <fill>
      <patternFill patternType="solid">
        <fgColor rgb="FFFFF6D6"/>
        <bgColor rgb="FFF7F3EA"/>
      </patternFill>
    </fill>
    <fill>
      <patternFill patternType="solid">
        <fgColor rgb="FF3F9B5A"/>
        <bgColor rgb="FF4299B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DCCB"/>
      </left>
      <right style="thin">
        <color rgb="FFE4DCCB"/>
      </right>
      <top style="thin">
        <color rgb="FFE4DCCB"/>
      </top>
      <bottom style="thin">
        <color rgb="FFE4DC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D6452F"/>
      </font>
    </dxf>
    <dxf>
      <fill>
        <patternFill>
          <bgColor rgb="FFF3EFE6"/>
        </patternFill>
      </fill>
    </dxf>
    <dxf>
      <font>
        <name val="Arial"/>
        <charset val="1"/>
        <family val="0"/>
        <strike val="1"/>
        <color rgb="FF8A8378"/>
      </font>
      <fill>
        <patternFill>
          <bgColor rgb="FFE6F2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A8378"/>
      <rgbColor rgb="FF93A9CE"/>
      <rgbColor rgb="FFAB4744"/>
      <rgbColor rgb="FFFFF6D6"/>
      <rgbColor rgb="FFE6F2E9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FE6"/>
      <rgbColor rgb="FFF7F3EA"/>
      <rgbColor rgb="FFFFFF99"/>
      <rgbColor rgb="FF99CCFF"/>
      <rgbColor rgb="FFD09493"/>
      <rgbColor rgb="FFCC99FF"/>
      <rgbColor rgb="FFE4DCCB"/>
      <rgbColor rgb="FF2F6FB5"/>
      <rgbColor rgb="FF4299B0"/>
      <rgbColor rgb="FF99CC00"/>
      <rgbColor rgb="FFF2B632"/>
      <rgbColor rgb="FFFF9900"/>
      <rgbColor rgb="FFD6452F"/>
      <rgbColor rgb="FF725990"/>
      <rgbColor rgb="FF8AA64F"/>
      <rgbColor rgb="FF003366"/>
      <rgbColor rgb="FF3F9B5A"/>
      <rgbColor rgb="FF003300"/>
      <rgbColor rgb="FF5A544B"/>
      <rgbColor rgb="FF993300"/>
      <rgbColor rgb="FF993366"/>
      <rgbColor rgb="FF333399"/>
      <rgbColor rgb="FF1F1D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money goes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Budget!D5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Budget!$B$6:$B$13</c:f>
              <c:strCache>
                <c:ptCount val="8"/>
                <c:pt idx="0">
                  <c:v>Flights</c:v>
                </c:pt>
                <c:pt idx="1">
                  <c:v>Accommodation</c:v>
                </c:pt>
                <c:pt idx="2">
                  <c:v>Transport</c:v>
                </c:pt>
                <c:pt idx="3">
                  <c:v>Food &amp; drink</c:v>
                </c:pt>
                <c:pt idx="4">
                  <c:v>Activities</c:v>
                </c:pt>
                <c:pt idx="5">
                  <c:v>Shopping</c:v>
                </c:pt>
                <c:pt idx="6">
                  <c:v>Insurance</c:v>
                </c:pt>
                <c:pt idx="7">
                  <c:v>Other</c:v>
                </c:pt>
              </c:strCache>
            </c:strRef>
          </c:cat>
          <c:val>
            <c:numRef>
              <c:f>Budget!$D$6:$D$13</c:f>
              <c:numCache>
                <c:formatCode>\$#,##0.00;"-$"#,##0.00;\-</c:formatCode>
                <c:ptCount val="8"/>
                <c:pt idx="0">
                  <c:v>420</c:v>
                </c:pt>
                <c:pt idx="1">
                  <c:v>780</c:v>
                </c:pt>
                <c:pt idx="2">
                  <c:v>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4</xdr:col>
      <xdr:colOff>795240</xdr:colOff>
      <xdr:row>33</xdr:row>
      <xdr:rowOff>1080</xdr:rowOff>
    </xdr:to>
    <xdr:graphicFrame>
      <xdr:nvGraphicFramePr>
        <xdr:cNvPr id="0" name="Chart 1"/>
        <xdr:cNvGraphicFramePr/>
      </xdr:nvGraphicFramePr>
      <xdr:xfrm>
        <a:off x="211320" y="32288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1D1A"/>
    <pageSetUpPr fitToPage="fals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1" customFormat="false" ht="6" hidden="false" customHeight="true" outlineLevel="0" collapsed="false">
      <c r="A1" s="1"/>
      <c r="B1" s="2"/>
      <c r="C1" s="3"/>
    </row>
    <row r="2" customFormat="false" ht="31.5" hidden="false" customHeight="true" outlineLevel="0" collapsed="false">
      <c r="A2" s="4"/>
      <c r="B2" s="5" t="s">
        <v>0</v>
      </c>
      <c r="C2" s="4"/>
    </row>
    <row r="3" customFormat="false" ht="15" hidden="false" customHeight="false" outlineLevel="0" collapsed="false">
      <c r="A3" s="4"/>
      <c r="B3" s="6" t="s">
        <v>1</v>
      </c>
      <c r="C3" s="4"/>
    </row>
    <row r="5" customFormat="false" ht="17.35" hidden="false" customHeight="false" outlineLevel="0" collapsed="false">
      <c r="B5" s="7" t="s">
        <v>2</v>
      </c>
    </row>
    <row r="7" customFormat="false" ht="30" hidden="false" customHeight="true" outlineLevel="0" collapsed="false">
      <c r="B7" s="8" t="s">
        <v>3</v>
      </c>
    </row>
    <row r="8" customFormat="false" ht="30" hidden="false" customHeight="true" outlineLevel="0" collapsed="false">
      <c r="B8" s="8" t="s">
        <v>4</v>
      </c>
    </row>
    <row r="9" customFormat="false" ht="30" hidden="false" customHeight="true" outlineLevel="0" collapsed="false">
      <c r="B9" s="8" t="s">
        <v>5</v>
      </c>
    </row>
    <row r="10" customFormat="false" ht="30" hidden="false" customHeight="true" outlineLevel="0" collapsed="false">
      <c r="B10" s="8" t="s">
        <v>6</v>
      </c>
    </row>
    <row r="11" customFormat="false" ht="30" hidden="false" customHeight="true" outlineLevel="0" collapsed="false">
      <c r="B11" s="8" t="s">
        <v>7</v>
      </c>
    </row>
    <row r="13" customFormat="false" ht="17.35" hidden="false" customHeight="false" outlineLevel="0" collapsed="false">
      <c r="B13" s="7" t="s">
        <v>8</v>
      </c>
    </row>
    <row r="14" customFormat="false" ht="15" hidden="false" customHeight="false" outlineLevel="0" collapsed="false">
      <c r="B14" s="9" t="s">
        <v>9</v>
      </c>
    </row>
    <row r="16" customFormat="false" ht="15" hidden="false" customHeight="false" outlineLevel="0" collapsed="false">
      <c r="B16" s="10" t="s">
        <v>10</v>
      </c>
    </row>
    <row r="17" customFormat="false" ht="15" hidden="false" customHeight="false" outlineLevel="0" collapsed="false">
      <c r="B17" s="1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B5"/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30"/>
  </cols>
  <sheetData>
    <row r="1" customFormat="false" ht="6" hidden="false" customHeight="true" outlineLevel="0" collapsed="false">
      <c r="A1" s="1"/>
      <c r="B1" s="2"/>
      <c r="C1" s="3"/>
      <c r="D1" s="11"/>
    </row>
    <row r="2" customFormat="false" ht="31.5" hidden="false" customHeight="true" outlineLevel="0" collapsed="false">
      <c r="A2" s="4"/>
      <c r="B2" s="5" t="s">
        <v>12</v>
      </c>
      <c r="C2" s="4"/>
      <c r="D2" s="4"/>
    </row>
    <row r="3" customFormat="false" ht="15" hidden="false" customHeight="false" outlineLevel="0" collapsed="false">
      <c r="A3" s="4"/>
      <c r="B3" s="6" t="s">
        <v>13</v>
      </c>
      <c r="C3" s="4"/>
      <c r="D3" s="4"/>
    </row>
    <row r="5" customFormat="false" ht="15" hidden="false" customHeight="false" outlineLevel="0" collapsed="false">
      <c r="B5" s="12" t="s">
        <v>14</v>
      </c>
      <c r="C5" s="9" t="s">
        <v>15</v>
      </c>
    </row>
    <row r="6" customFormat="false" ht="15" hidden="false" customHeight="false" outlineLevel="0" collapsed="false">
      <c r="B6" s="12" t="s">
        <v>16</v>
      </c>
      <c r="C6" s="13" t="n">
        <v>46384</v>
      </c>
    </row>
    <row r="7" customFormat="false" ht="15" hidden="false" customHeight="false" outlineLevel="0" collapsed="false">
      <c r="B7" s="12" t="s">
        <v>17</v>
      </c>
      <c r="C7" s="13" t="n">
        <v>46390</v>
      </c>
    </row>
    <row r="8" customFormat="false" ht="15" hidden="false" customHeight="false" outlineLevel="0" collapsed="false">
      <c r="B8" s="12" t="s">
        <v>18</v>
      </c>
      <c r="C8" s="9" t="s">
        <v>19</v>
      </c>
    </row>
    <row r="9" customFormat="false" ht="15" hidden="false" customHeight="false" outlineLevel="0" collapsed="false">
      <c r="B9" s="12" t="s">
        <v>20</v>
      </c>
      <c r="C9" s="14" t="n">
        <v>2500</v>
      </c>
    </row>
    <row r="10" customFormat="false" ht="15" hidden="false" customHeight="false" outlineLevel="0" collapsed="false">
      <c r="B10" s="12" t="s">
        <v>21</v>
      </c>
      <c r="C10" s="9" t="s">
        <v>22</v>
      </c>
    </row>
    <row r="11" customFormat="false" ht="15" hidden="false" customHeight="false" outlineLevel="0" collapsed="false">
      <c r="B11" s="12" t="s">
        <v>23</v>
      </c>
      <c r="C11" s="9" t="s">
        <v>24</v>
      </c>
    </row>
    <row r="12" customFormat="false" ht="15" hidden="false" customHeight="false" outlineLevel="0" collapsed="false">
      <c r="B12" s="12" t="s">
        <v>25</v>
      </c>
      <c r="C12" s="9" t="s">
        <v>26</v>
      </c>
    </row>
    <row r="13" customFormat="false" ht="15" hidden="false" customHeight="false" outlineLevel="0" collapsed="false">
      <c r="B13" s="12" t="s">
        <v>27</v>
      </c>
      <c r="C13" s="9" t="s">
        <v>28</v>
      </c>
    </row>
    <row r="14" customFormat="false" ht="15" hidden="false" customHeight="false" outlineLevel="0" collapsed="false">
      <c r="B14" s="12" t="s">
        <v>29</v>
      </c>
      <c r="C14" s="9"/>
    </row>
    <row r="16" customFormat="false" ht="21.75" hidden="false" customHeight="true" outlineLevel="0" collapsed="false">
      <c r="B16" s="15" t="s">
        <v>30</v>
      </c>
      <c r="C16" s="15"/>
    </row>
    <row r="17" customFormat="false" ht="19.7" hidden="false" customHeight="false" outlineLevel="0" collapsed="false">
      <c r="B17" s="16" t="s">
        <v>31</v>
      </c>
      <c r="C17" s="17" t="n">
        <f aca="true">IF(C6="","",MAX(0,C6-TODAY()))</f>
        <v>60</v>
      </c>
    </row>
    <row r="18" customFormat="false" ht="15" hidden="false" customHeight="false" outlineLevel="0" collapsed="false">
      <c r="B18" s="16" t="s">
        <v>32</v>
      </c>
      <c r="C18" s="18" t="n">
        <f aca="false">IF(OR(C6="",C7=""),"",C7-C6)</f>
        <v>6</v>
      </c>
    </row>
    <row r="19" customFormat="false" ht="15" hidden="false" customHeight="false" outlineLevel="0" collapsed="false">
      <c r="B19" s="16" t="s">
        <v>33</v>
      </c>
      <c r="C19" s="19" t="n">
        <f aca="false">C9</f>
        <v>2500</v>
      </c>
    </row>
    <row r="20" customFormat="false" ht="15" hidden="false" customHeight="false" outlineLevel="0" collapsed="false">
      <c r="B20" s="16" t="s">
        <v>34</v>
      </c>
      <c r="C20" s="19" t="n">
        <f aca="false">Budget!D14</f>
        <v>1228</v>
      </c>
    </row>
    <row r="21" customFormat="false" ht="15" hidden="false" customHeight="false" outlineLevel="0" collapsed="false">
      <c r="B21" s="16" t="s">
        <v>35</v>
      </c>
      <c r="C21" s="19" t="n">
        <f aca="false">C19-C20</f>
        <v>1272</v>
      </c>
    </row>
    <row r="22" customFormat="false" ht="15" hidden="false" customHeight="false" outlineLevel="0" collapsed="false">
      <c r="B22" s="16" t="s">
        <v>36</v>
      </c>
      <c r="C22" s="19" t="n">
        <f aca="false">IF(OR(C18="",C18=0),"",C21/C18)</f>
        <v>212</v>
      </c>
    </row>
    <row r="23" customFormat="false" ht="15" hidden="false" customHeight="false" outlineLevel="0" collapsed="false">
      <c r="B23" s="16" t="s">
        <v>37</v>
      </c>
      <c r="C23" s="20" t="n">
        <f aca="false">'Packing List'!E5</f>
        <v>0.210526315789474</v>
      </c>
    </row>
  </sheetData>
  <conditionalFormatting sqref="C21">
    <cfRule type="cellIs" priority="2" operator="lessThan" aboveAverage="0" equalAverage="0" bottom="0" percent="0" rank="0" text="" dxfId="0">
      <formula>0</formula>
    </cfRule>
  </conditionalFormatting>
  <conditionalFormatting sqref="C23">
    <cfRule type="dataBar" priority="3">
      <dataBar showValue="1" minLength="10" maxLength="90">
        <cfvo type="num" val="0"/>
        <cfvo type="num" val="1"/>
        <color rgb="FF3F9B5A"/>
      </dataBar>
      <extLst>
        <ext xmlns:x14="http://schemas.microsoft.com/office/spreadsheetml/2009/9/main" uri="{B025F937-C7B1-47D3-B67F-A62EFF666E3E}">
          <x14:id>{C49DCFE6-D640-4310-A8DE-3710509C22A4}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9DCFE6-D640-4310-A8DE-3710509C22A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3F9B5A"/>
              <x14:axisColor rgb="FF000000"/>
            </x14:dataBar>
          </x14:cfRule>
          <xm:sqref>C23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B632"/>
    <pageSetUpPr fitToPage="false"/>
  </sheetPr>
  <dimension ref="A1:J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6" hidden="false" customHeight="true" outlineLevel="0" collapsed="false">
      <c r="A1" s="1"/>
      <c r="B1" s="2"/>
      <c r="C1" s="3"/>
      <c r="D1" s="11"/>
      <c r="E1" s="1"/>
      <c r="F1" s="2"/>
      <c r="G1" s="3"/>
      <c r="H1" s="11"/>
      <c r="I1" s="1"/>
      <c r="J1" s="2"/>
    </row>
    <row r="2" customFormat="false" ht="31.5" hidden="false" customHeight="true" outlineLevel="0" collapsed="false">
      <c r="A2" s="4"/>
      <c r="B2" s="5" t="s">
        <v>38</v>
      </c>
      <c r="C2" s="4"/>
      <c r="D2" s="4"/>
      <c r="E2" s="4"/>
      <c r="F2" s="4"/>
      <c r="G2" s="4"/>
      <c r="H2" s="4"/>
      <c r="I2" s="4"/>
      <c r="J2" s="4"/>
    </row>
    <row r="3" customFormat="false" ht="15" hidden="false" customHeight="false" outlineLevel="0" collapsed="false">
      <c r="A3" s="4"/>
      <c r="B3" s="6" t="s">
        <v>39</v>
      </c>
      <c r="C3" s="4"/>
      <c r="D3" s="4"/>
      <c r="E3" s="4"/>
      <c r="F3" s="4"/>
      <c r="G3" s="4"/>
      <c r="H3" s="4"/>
      <c r="I3" s="4"/>
      <c r="J3" s="4"/>
    </row>
    <row r="5" customFormat="false" ht="21.75" hidden="false" customHeight="true" outlineLevel="0" collapsed="false">
      <c r="B5" s="21" t="s">
        <v>40</v>
      </c>
      <c r="C5" s="21" t="s">
        <v>41</v>
      </c>
      <c r="D5" s="21" t="s">
        <v>42</v>
      </c>
      <c r="E5" s="21" t="s">
        <v>43</v>
      </c>
      <c r="F5" s="21" t="s">
        <v>44</v>
      </c>
      <c r="G5" s="21" t="s">
        <v>45</v>
      </c>
      <c r="H5" s="21" t="s">
        <v>46</v>
      </c>
      <c r="I5" s="21" t="s">
        <v>47</v>
      </c>
    </row>
    <row r="6" customFormat="false" ht="15" hidden="false" customHeight="false" outlineLevel="0" collapsed="false">
      <c r="B6" s="22" t="n">
        <f aca="false">IF(C6="","",C6-'Trip Overview'!$C$6+1)</f>
        <v>1</v>
      </c>
      <c r="C6" s="23" t="n">
        <v>46384</v>
      </c>
      <c r="D6" s="24" t="s">
        <v>48</v>
      </c>
      <c r="E6" s="9" t="s">
        <v>49</v>
      </c>
      <c r="F6" s="9" t="s">
        <v>50</v>
      </c>
      <c r="G6" s="9" t="s">
        <v>51</v>
      </c>
      <c r="H6" s="14" t="n">
        <v>0</v>
      </c>
      <c r="I6" s="9"/>
    </row>
    <row r="7" customFormat="false" ht="15" hidden="false" customHeight="false" outlineLevel="0" collapsed="false">
      <c r="B7" s="22" t="n">
        <f aca="false">IF(C7="","",C7-'Trip Overview'!$C$6+1)</f>
        <v>1</v>
      </c>
      <c r="C7" s="23" t="n">
        <v>46384</v>
      </c>
      <c r="D7" s="24" t="s">
        <v>52</v>
      </c>
      <c r="E7" s="9" t="s">
        <v>53</v>
      </c>
      <c r="F7" s="9" t="s">
        <v>54</v>
      </c>
      <c r="G7" s="9"/>
      <c r="H7" s="14" t="n">
        <v>6</v>
      </c>
      <c r="I7" s="9"/>
    </row>
    <row r="8" customFormat="false" ht="15" hidden="false" customHeight="false" outlineLevel="0" collapsed="false">
      <c r="B8" s="22" t="n">
        <f aca="false">IF(C8="","",C8-'Trip Overview'!$C$6+1)</f>
        <v>2</v>
      </c>
      <c r="C8" s="23" t="n">
        <v>46385</v>
      </c>
      <c r="D8" s="24" t="s">
        <v>55</v>
      </c>
      <c r="E8" s="9" t="s">
        <v>56</v>
      </c>
      <c r="F8" s="9" t="s">
        <v>57</v>
      </c>
      <c r="G8" s="9" t="s">
        <v>58</v>
      </c>
      <c r="H8" s="14" t="n">
        <v>24</v>
      </c>
      <c r="I8" s="9"/>
    </row>
    <row r="9" customFormat="false" ht="15" hidden="false" customHeight="false" outlineLevel="0" collapsed="false">
      <c r="B9" s="22" t="n">
        <f aca="false">IF(C9="","",C9-'Trip Overview'!$C$6+1)</f>
        <v>3</v>
      </c>
      <c r="C9" s="23" t="n">
        <v>46386</v>
      </c>
      <c r="D9" s="24" t="s">
        <v>59</v>
      </c>
      <c r="E9" s="9" t="s">
        <v>60</v>
      </c>
      <c r="F9" s="9" t="s">
        <v>61</v>
      </c>
      <c r="G9" s="9"/>
      <c r="H9" s="14" t="n">
        <v>45</v>
      </c>
      <c r="I9" s="9"/>
    </row>
    <row r="10" customFormat="false" ht="15" hidden="false" customHeight="false" outlineLevel="0" collapsed="false">
      <c r="B10" s="22" t="str">
        <f aca="false">IF(C10="","",C10-'Trip Overview'!$C$6+1)</f>
        <v/>
      </c>
      <c r="C10" s="23"/>
      <c r="D10" s="24"/>
      <c r="E10" s="9"/>
      <c r="F10" s="9"/>
      <c r="G10" s="9"/>
      <c r="H10" s="14"/>
      <c r="I10" s="9"/>
    </row>
    <row r="11" customFormat="false" ht="15" hidden="false" customHeight="false" outlineLevel="0" collapsed="false">
      <c r="B11" s="22" t="str">
        <f aca="false">IF(C11="","",C11-'Trip Overview'!$C$6+1)</f>
        <v/>
      </c>
      <c r="C11" s="23"/>
      <c r="D11" s="24"/>
      <c r="E11" s="9"/>
      <c r="F11" s="9"/>
      <c r="G11" s="9"/>
      <c r="H11" s="14"/>
      <c r="I11" s="9"/>
    </row>
    <row r="12" customFormat="false" ht="15" hidden="false" customHeight="false" outlineLevel="0" collapsed="false">
      <c r="B12" s="22" t="str">
        <f aca="false">IF(C12="","",C12-'Trip Overview'!$C$6+1)</f>
        <v/>
      </c>
      <c r="C12" s="23"/>
      <c r="D12" s="24"/>
      <c r="E12" s="9"/>
      <c r="F12" s="9"/>
      <c r="G12" s="9"/>
      <c r="H12" s="14"/>
      <c r="I12" s="9"/>
    </row>
    <row r="13" customFormat="false" ht="15" hidden="false" customHeight="false" outlineLevel="0" collapsed="false">
      <c r="B13" s="22" t="str">
        <f aca="false">IF(C13="","",C13-'Trip Overview'!$C$6+1)</f>
        <v/>
      </c>
      <c r="C13" s="23"/>
      <c r="D13" s="24"/>
      <c r="E13" s="9"/>
      <c r="F13" s="9"/>
      <c r="G13" s="9"/>
      <c r="H13" s="14"/>
      <c r="I13" s="9"/>
    </row>
    <row r="14" customFormat="false" ht="15" hidden="false" customHeight="false" outlineLevel="0" collapsed="false">
      <c r="B14" s="22" t="str">
        <f aca="false">IF(C14="","",C14-'Trip Overview'!$C$6+1)</f>
        <v/>
      </c>
      <c r="C14" s="23"/>
      <c r="D14" s="24"/>
      <c r="E14" s="9"/>
      <c r="F14" s="9"/>
      <c r="G14" s="9"/>
      <c r="H14" s="14"/>
      <c r="I14" s="9"/>
    </row>
    <row r="15" customFormat="false" ht="15" hidden="false" customHeight="false" outlineLevel="0" collapsed="false">
      <c r="B15" s="22" t="str">
        <f aca="false">IF(C15="","",C15-'Trip Overview'!$C$6+1)</f>
        <v/>
      </c>
      <c r="C15" s="23"/>
      <c r="D15" s="24"/>
      <c r="E15" s="9"/>
      <c r="F15" s="9"/>
      <c r="G15" s="9"/>
      <c r="H15" s="14"/>
      <c r="I15" s="9"/>
    </row>
    <row r="16" customFormat="false" ht="15" hidden="false" customHeight="false" outlineLevel="0" collapsed="false">
      <c r="B16" s="22" t="str">
        <f aca="false">IF(C16="","",C16-'Trip Overview'!$C$6+1)</f>
        <v/>
      </c>
      <c r="C16" s="23"/>
      <c r="D16" s="24"/>
      <c r="E16" s="9"/>
      <c r="F16" s="9"/>
      <c r="G16" s="9"/>
      <c r="H16" s="14"/>
      <c r="I16" s="9"/>
    </row>
    <row r="17" customFormat="false" ht="15" hidden="false" customHeight="false" outlineLevel="0" collapsed="false">
      <c r="B17" s="22" t="str">
        <f aca="false">IF(C17="","",C17-'Trip Overview'!$C$6+1)</f>
        <v/>
      </c>
      <c r="C17" s="23"/>
      <c r="D17" s="24"/>
      <c r="E17" s="9"/>
      <c r="F17" s="9"/>
      <c r="G17" s="9"/>
      <c r="H17" s="14"/>
      <c r="I17" s="9"/>
    </row>
    <row r="18" customFormat="false" ht="15" hidden="false" customHeight="false" outlineLevel="0" collapsed="false">
      <c r="B18" s="22" t="str">
        <f aca="false">IF(C18="","",C18-'Trip Overview'!$C$6+1)</f>
        <v/>
      </c>
      <c r="C18" s="23"/>
      <c r="D18" s="24"/>
      <c r="E18" s="9"/>
      <c r="F18" s="9"/>
      <c r="G18" s="9"/>
      <c r="H18" s="14"/>
      <c r="I18" s="9"/>
    </row>
    <row r="19" customFormat="false" ht="15" hidden="false" customHeight="false" outlineLevel="0" collapsed="false">
      <c r="B19" s="22" t="str">
        <f aca="false">IF(C19="","",C19-'Trip Overview'!$C$6+1)</f>
        <v/>
      </c>
      <c r="C19" s="23"/>
      <c r="D19" s="24"/>
      <c r="E19" s="9"/>
      <c r="F19" s="9"/>
      <c r="G19" s="9"/>
      <c r="H19" s="14"/>
      <c r="I19" s="9"/>
    </row>
    <row r="20" customFormat="false" ht="15" hidden="false" customHeight="false" outlineLevel="0" collapsed="false">
      <c r="B20" s="22" t="str">
        <f aca="false">IF(C20="","",C20-'Trip Overview'!$C$6+1)</f>
        <v/>
      </c>
      <c r="C20" s="23"/>
      <c r="D20" s="24"/>
      <c r="E20" s="9"/>
      <c r="F20" s="9"/>
      <c r="G20" s="9"/>
      <c r="H20" s="14"/>
      <c r="I20" s="9"/>
    </row>
    <row r="21" customFormat="false" ht="15" hidden="false" customHeight="false" outlineLevel="0" collapsed="false">
      <c r="B21" s="22" t="str">
        <f aca="false">IF(C21="","",C21-'Trip Overview'!$C$6+1)</f>
        <v/>
      </c>
      <c r="C21" s="23"/>
      <c r="D21" s="24"/>
      <c r="E21" s="9"/>
      <c r="F21" s="9"/>
      <c r="G21" s="9"/>
      <c r="H21" s="14"/>
      <c r="I21" s="9"/>
    </row>
    <row r="22" customFormat="false" ht="15" hidden="false" customHeight="false" outlineLevel="0" collapsed="false">
      <c r="B22" s="22" t="str">
        <f aca="false">IF(C22="","",C22-'Trip Overview'!$C$6+1)</f>
        <v/>
      </c>
      <c r="C22" s="23"/>
      <c r="D22" s="24"/>
      <c r="E22" s="9"/>
      <c r="F22" s="9"/>
      <c r="G22" s="9"/>
      <c r="H22" s="14"/>
      <c r="I22" s="9"/>
    </row>
    <row r="23" customFormat="false" ht="15" hidden="false" customHeight="false" outlineLevel="0" collapsed="false">
      <c r="B23" s="22" t="str">
        <f aca="false">IF(C23="","",C23-'Trip Overview'!$C$6+1)</f>
        <v/>
      </c>
      <c r="C23" s="23"/>
      <c r="D23" s="24"/>
      <c r="E23" s="9"/>
      <c r="F23" s="9"/>
      <c r="G23" s="9"/>
      <c r="H23" s="14"/>
      <c r="I23" s="9"/>
    </row>
    <row r="24" customFormat="false" ht="15" hidden="false" customHeight="false" outlineLevel="0" collapsed="false">
      <c r="B24" s="22" t="str">
        <f aca="false">IF(C24="","",C24-'Trip Overview'!$C$6+1)</f>
        <v/>
      </c>
      <c r="C24" s="23"/>
      <c r="D24" s="24"/>
      <c r="E24" s="9"/>
      <c r="F24" s="9"/>
      <c r="G24" s="9"/>
      <c r="H24" s="14"/>
      <c r="I24" s="9"/>
    </row>
    <row r="25" customFormat="false" ht="15" hidden="false" customHeight="false" outlineLevel="0" collapsed="false">
      <c r="B25" s="22" t="str">
        <f aca="false">IF(C25="","",C25-'Trip Overview'!$C$6+1)</f>
        <v/>
      </c>
      <c r="C25" s="23"/>
      <c r="D25" s="24"/>
      <c r="E25" s="9"/>
      <c r="F25" s="9"/>
      <c r="G25" s="9"/>
      <c r="H25" s="14"/>
      <c r="I25" s="9"/>
    </row>
    <row r="26" customFormat="false" ht="15" hidden="false" customHeight="false" outlineLevel="0" collapsed="false">
      <c r="B26" s="22" t="str">
        <f aca="false">IF(C26="","",C26-'Trip Overview'!$C$6+1)</f>
        <v/>
      </c>
      <c r="C26" s="23"/>
      <c r="D26" s="24"/>
      <c r="E26" s="9"/>
      <c r="F26" s="9"/>
      <c r="G26" s="9"/>
      <c r="H26" s="14"/>
      <c r="I26" s="9"/>
    </row>
    <row r="27" customFormat="false" ht="15" hidden="false" customHeight="false" outlineLevel="0" collapsed="false">
      <c r="B27" s="22" t="str">
        <f aca="false">IF(C27="","",C27-'Trip Overview'!$C$6+1)</f>
        <v/>
      </c>
      <c r="C27" s="23"/>
      <c r="D27" s="24"/>
      <c r="E27" s="9"/>
      <c r="F27" s="9"/>
      <c r="G27" s="9"/>
      <c r="H27" s="14"/>
      <c r="I27" s="9"/>
    </row>
    <row r="28" customFormat="false" ht="15" hidden="false" customHeight="false" outlineLevel="0" collapsed="false">
      <c r="B28" s="22" t="str">
        <f aca="false">IF(C28="","",C28-'Trip Overview'!$C$6+1)</f>
        <v/>
      </c>
      <c r="C28" s="23"/>
      <c r="D28" s="24"/>
      <c r="E28" s="9"/>
      <c r="F28" s="9"/>
      <c r="G28" s="9"/>
      <c r="H28" s="14"/>
      <c r="I28" s="9"/>
    </row>
    <row r="29" customFormat="false" ht="15" hidden="false" customHeight="false" outlineLevel="0" collapsed="false">
      <c r="B29" s="22" t="str">
        <f aca="false">IF(C29="","",C29-'Trip Overview'!$C$6+1)</f>
        <v/>
      </c>
      <c r="C29" s="23"/>
      <c r="D29" s="24"/>
      <c r="E29" s="9"/>
      <c r="F29" s="9"/>
      <c r="G29" s="9"/>
      <c r="H29" s="14"/>
      <c r="I29" s="9"/>
    </row>
    <row r="30" customFormat="false" ht="15" hidden="false" customHeight="false" outlineLevel="0" collapsed="false">
      <c r="B30" s="22" t="str">
        <f aca="false">IF(C30="","",C30-'Trip Overview'!$C$6+1)</f>
        <v/>
      </c>
      <c r="C30" s="23"/>
      <c r="D30" s="24"/>
      <c r="E30" s="9"/>
      <c r="F30" s="9"/>
      <c r="G30" s="9"/>
      <c r="H30" s="14"/>
      <c r="I30" s="9"/>
    </row>
    <row r="31" customFormat="false" ht="15" hidden="false" customHeight="false" outlineLevel="0" collapsed="false">
      <c r="B31" s="22" t="str">
        <f aca="false">IF(C31="","",C31-'Trip Overview'!$C$6+1)</f>
        <v/>
      </c>
      <c r="C31" s="23"/>
      <c r="D31" s="24"/>
      <c r="E31" s="9"/>
      <c r="F31" s="9"/>
      <c r="G31" s="9"/>
      <c r="H31" s="14"/>
      <c r="I31" s="9"/>
    </row>
    <row r="32" customFormat="false" ht="15" hidden="false" customHeight="false" outlineLevel="0" collapsed="false">
      <c r="B32" s="22" t="str">
        <f aca="false">IF(C32="","",C32-'Trip Overview'!$C$6+1)</f>
        <v/>
      </c>
      <c r="C32" s="23"/>
      <c r="D32" s="24"/>
      <c r="E32" s="9"/>
      <c r="F32" s="9"/>
      <c r="G32" s="9"/>
      <c r="H32" s="14"/>
      <c r="I32" s="9"/>
    </row>
    <row r="33" customFormat="false" ht="15" hidden="false" customHeight="false" outlineLevel="0" collapsed="false">
      <c r="B33" s="22" t="str">
        <f aca="false">IF(C33="","",C33-'Trip Overview'!$C$6+1)</f>
        <v/>
      </c>
      <c r="C33" s="23"/>
      <c r="D33" s="24"/>
      <c r="E33" s="9"/>
      <c r="F33" s="9"/>
      <c r="G33" s="9"/>
      <c r="H33" s="14"/>
      <c r="I33" s="9"/>
    </row>
    <row r="34" customFormat="false" ht="15" hidden="false" customHeight="false" outlineLevel="0" collapsed="false">
      <c r="B34" s="22" t="str">
        <f aca="false">IF(C34="","",C34-'Trip Overview'!$C$6+1)</f>
        <v/>
      </c>
      <c r="C34" s="23"/>
      <c r="D34" s="24"/>
      <c r="E34" s="9"/>
      <c r="F34" s="9"/>
      <c r="G34" s="9"/>
      <c r="H34" s="14"/>
      <c r="I34" s="9"/>
    </row>
    <row r="35" customFormat="false" ht="15" hidden="false" customHeight="false" outlineLevel="0" collapsed="false">
      <c r="B35" s="22" t="str">
        <f aca="false">IF(C35="","",C35-'Trip Overview'!$C$6+1)</f>
        <v/>
      </c>
      <c r="C35" s="23"/>
      <c r="D35" s="24"/>
      <c r="E35" s="9"/>
      <c r="F35" s="9"/>
      <c r="G35" s="9"/>
      <c r="H35" s="14"/>
      <c r="I35" s="9"/>
    </row>
    <row r="36" customFormat="false" ht="15" hidden="false" customHeight="false" outlineLevel="0" collapsed="false">
      <c r="B36" s="22" t="str">
        <f aca="false">IF(C36="","",C36-'Trip Overview'!$C$6+1)</f>
        <v/>
      </c>
      <c r="C36" s="23"/>
      <c r="D36" s="24"/>
      <c r="E36" s="9"/>
      <c r="F36" s="9"/>
      <c r="G36" s="9"/>
      <c r="H36" s="14"/>
      <c r="I36" s="9"/>
    </row>
    <row r="37" customFormat="false" ht="15" hidden="false" customHeight="false" outlineLevel="0" collapsed="false">
      <c r="B37" s="22" t="str">
        <f aca="false">IF(C37="","",C37-'Trip Overview'!$C$6+1)</f>
        <v/>
      </c>
      <c r="C37" s="23"/>
      <c r="D37" s="24"/>
      <c r="E37" s="9"/>
      <c r="F37" s="9"/>
      <c r="G37" s="9"/>
      <c r="H37" s="14"/>
      <c r="I37" s="9"/>
    </row>
    <row r="38" customFormat="false" ht="15" hidden="false" customHeight="false" outlineLevel="0" collapsed="false">
      <c r="B38" s="22" t="str">
        <f aca="false">IF(C38="","",C38-'Trip Overview'!$C$6+1)</f>
        <v/>
      </c>
      <c r="C38" s="23"/>
      <c r="D38" s="24"/>
      <c r="E38" s="9"/>
      <c r="F38" s="9"/>
      <c r="G38" s="9"/>
      <c r="H38" s="14"/>
      <c r="I38" s="9"/>
    </row>
    <row r="39" customFormat="false" ht="15" hidden="false" customHeight="false" outlineLevel="0" collapsed="false">
      <c r="B39" s="22" t="str">
        <f aca="false">IF(C39="","",C39-'Trip Overview'!$C$6+1)</f>
        <v/>
      </c>
      <c r="C39" s="23"/>
      <c r="D39" s="24"/>
      <c r="E39" s="9"/>
      <c r="F39" s="9"/>
      <c r="G39" s="9"/>
      <c r="H39" s="14"/>
      <c r="I39" s="9"/>
    </row>
    <row r="40" customFormat="false" ht="15" hidden="false" customHeight="false" outlineLevel="0" collapsed="false">
      <c r="B40" s="22" t="str">
        <f aca="false">IF(C40="","",C40-'Trip Overview'!$C$6+1)</f>
        <v/>
      </c>
      <c r="C40" s="23"/>
      <c r="D40" s="24"/>
      <c r="E40" s="9"/>
      <c r="F40" s="9"/>
      <c r="G40" s="9"/>
      <c r="H40" s="14"/>
      <c r="I40" s="9"/>
    </row>
    <row r="41" customFormat="false" ht="15" hidden="false" customHeight="false" outlineLevel="0" collapsed="false">
      <c r="B41" s="22" t="str">
        <f aca="false">IF(C41="","",C41-'Trip Overview'!$C$6+1)</f>
        <v/>
      </c>
      <c r="C41" s="23"/>
      <c r="D41" s="24"/>
      <c r="E41" s="9"/>
      <c r="F41" s="9"/>
      <c r="G41" s="9"/>
      <c r="H41" s="14"/>
      <c r="I41" s="9"/>
    </row>
    <row r="42" customFormat="false" ht="15" hidden="false" customHeight="false" outlineLevel="0" collapsed="false">
      <c r="B42" s="22" t="str">
        <f aca="false">IF(C42="","",C42-'Trip Overview'!$C$6+1)</f>
        <v/>
      </c>
      <c r="C42" s="23"/>
      <c r="D42" s="24"/>
      <c r="E42" s="9"/>
      <c r="F42" s="9"/>
      <c r="G42" s="9"/>
      <c r="H42" s="14"/>
      <c r="I42" s="9"/>
    </row>
    <row r="43" customFormat="false" ht="15" hidden="false" customHeight="false" outlineLevel="0" collapsed="false">
      <c r="B43" s="22" t="str">
        <f aca="false">IF(C43="","",C43-'Trip Overview'!$C$6+1)</f>
        <v/>
      </c>
      <c r="C43" s="23"/>
      <c r="D43" s="24"/>
      <c r="E43" s="9"/>
      <c r="F43" s="9"/>
      <c r="G43" s="9"/>
      <c r="H43" s="14"/>
      <c r="I43" s="9"/>
    </row>
    <row r="44" customFormat="false" ht="15" hidden="false" customHeight="false" outlineLevel="0" collapsed="false">
      <c r="B44" s="22" t="str">
        <f aca="false">IF(C44="","",C44-'Trip Overview'!$C$6+1)</f>
        <v/>
      </c>
      <c r="C44" s="23"/>
      <c r="D44" s="24"/>
      <c r="E44" s="9"/>
      <c r="F44" s="9"/>
      <c r="G44" s="9"/>
      <c r="H44" s="14"/>
      <c r="I44" s="9"/>
    </row>
    <row r="45" customFormat="false" ht="15" hidden="false" customHeight="false" outlineLevel="0" collapsed="false">
      <c r="B45" s="22" t="str">
        <f aca="false">IF(C45="","",C45-'Trip Overview'!$C$6+1)</f>
        <v/>
      </c>
      <c r="C45" s="23"/>
      <c r="D45" s="24"/>
      <c r="E45" s="9"/>
      <c r="F45" s="9"/>
      <c r="G45" s="9"/>
      <c r="H45" s="14"/>
      <c r="I45" s="9"/>
    </row>
    <row r="46" customFormat="false" ht="15" hidden="false" customHeight="false" outlineLevel="0" collapsed="false">
      <c r="B46" s="22" t="str">
        <f aca="false">IF(C46="","",C46-'Trip Overview'!$C$6+1)</f>
        <v/>
      </c>
      <c r="C46" s="23"/>
      <c r="D46" s="24"/>
      <c r="E46" s="9"/>
      <c r="F46" s="9"/>
      <c r="G46" s="9"/>
      <c r="H46" s="14"/>
      <c r="I46" s="9"/>
    </row>
    <row r="47" customFormat="false" ht="15" hidden="false" customHeight="false" outlineLevel="0" collapsed="false">
      <c r="B47" s="22" t="str">
        <f aca="false">IF(C47="","",C47-'Trip Overview'!$C$6+1)</f>
        <v/>
      </c>
      <c r="C47" s="23"/>
      <c r="D47" s="24"/>
      <c r="E47" s="9"/>
      <c r="F47" s="9"/>
      <c r="G47" s="9"/>
      <c r="H47" s="14"/>
      <c r="I47" s="9"/>
    </row>
    <row r="48" customFormat="false" ht="15" hidden="false" customHeight="false" outlineLevel="0" collapsed="false">
      <c r="B48" s="22" t="str">
        <f aca="false">IF(C48="","",C48-'Trip Overview'!$C$6+1)</f>
        <v/>
      </c>
      <c r="C48" s="23"/>
      <c r="D48" s="24"/>
      <c r="E48" s="9"/>
      <c r="F48" s="9"/>
      <c r="G48" s="9"/>
      <c r="H48" s="14"/>
      <c r="I48" s="9"/>
    </row>
    <row r="49" customFormat="false" ht="15" hidden="false" customHeight="false" outlineLevel="0" collapsed="false">
      <c r="B49" s="22" t="str">
        <f aca="false">IF(C49="","",C49-'Trip Overview'!$C$6+1)</f>
        <v/>
      </c>
      <c r="C49" s="23"/>
      <c r="D49" s="24"/>
      <c r="E49" s="9"/>
      <c r="F49" s="9"/>
      <c r="G49" s="9"/>
      <c r="H49" s="14"/>
      <c r="I49" s="9"/>
    </row>
    <row r="50" customFormat="false" ht="15" hidden="false" customHeight="false" outlineLevel="0" collapsed="false">
      <c r="B50" s="22" t="str">
        <f aca="false">IF(C50="","",C50-'Trip Overview'!$C$6+1)</f>
        <v/>
      </c>
      <c r="C50" s="23"/>
      <c r="D50" s="24"/>
      <c r="E50" s="9"/>
      <c r="F50" s="9"/>
      <c r="G50" s="9"/>
      <c r="H50" s="14"/>
      <c r="I50" s="9"/>
    </row>
    <row r="51" customFormat="false" ht="15" hidden="false" customHeight="false" outlineLevel="0" collapsed="false">
      <c r="B51" s="22" t="str">
        <f aca="false">IF(C51="","",C51-'Trip Overview'!$C$6+1)</f>
        <v/>
      </c>
      <c r="C51" s="23"/>
      <c r="D51" s="24"/>
      <c r="E51" s="9"/>
      <c r="F51" s="9"/>
      <c r="G51" s="9"/>
      <c r="H51" s="14"/>
      <c r="I51" s="9"/>
    </row>
    <row r="52" customFormat="false" ht="15" hidden="false" customHeight="false" outlineLevel="0" collapsed="false">
      <c r="B52" s="22" t="str">
        <f aca="false">IF(C52="","",C52-'Trip Overview'!$C$6+1)</f>
        <v/>
      </c>
      <c r="C52" s="23"/>
      <c r="D52" s="24"/>
      <c r="E52" s="9"/>
      <c r="F52" s="9"/>
      <c r="G52" s="9"/>
      <c r="H52" s="14"/>
      <c r="I52" s="9"/>
    </row>
    <row r="53" customFormat="false" ht="15" hidden="false" customHeight="false" outlineLevel="0" collapsed="false">
      <c r="B53" s="22" t="str">
        <f aca="false">IF(C53="","",C53-'Trip Overview'!$C$6+1)</f>
        <v/>
      </c>
      <c r="C53" s="23"/>
      <c r="D53" s="24"/>
      <c r="E53" s="9"/>
      <c r="F53" s="9"/>
      <c r="G53" s="9"/>
      <c r="H53" s="14"/>
      <c r="I53" s="9"/>
    </row>
    <row r="54" customFormat="false" ht="15" hidden="false" customHeight="false" outlineLevel="0" collapsed="false">
      <c r="B54" s="22" t="str">
        <f aca="false">IF(C54="","",C54-'Trip Overview'!$C$6+1)</f>
        <v/>
      </c>
      <c r="C54" s="23"/>
      <c r="D54" s="24"/>
      <c r="E54" s="9"/>
      <c r="F54" s="9"/>
      <c r="G54" s="9"/>
      <c r="H54" s="14"/>
      <c r="I54" s="9"/>
    </row>
    <row r="55" customFormat="false" ht="15" hidden="false" customHeight="false" outlineLevel="0" collapsed="false">
      <c r="B55" s="22" t="str">
        <f aca="false">IF(C55="","",C55-'Trip Overview'!$C$6+1)</f>
        <v/>
      </c>
      <c r="C55" s="23"/>
      <c r="D55" s="24"/>
      <c r="E55" s="9"/>
      <c r="F55" s="9"/>
      <c r="G55" s="9"/>
      <c r="H55" s="14"/>
      <c r="I55" s="9"/>
    </row>
    <row r="56" customFormat="false" ht="15" hidden="false" customHeight="false" outlineLevel="0" collapsed="false">
      <c r="B56" s="22" t="str">
        <f aca="false">IF(C56="","",C56-'Trip Overview'!$C$6+1)</f>
        <v/>
      </c>
      <c r="C56" s="23"/>
      <c r="D56" s="24"/>
      <c r="E56" s="9"/>
      <c r="F56" s="9"/>
      <c r="G56" s="9"/>
      <c r="H56" s="14"/>
      <c r="I56" s="9"/>
    </row>
    <row r="57" customFormat="false" ht="15" hidden="false" customHeight="false" outlineLevel="0" collapsed="false">
      <c r="B57" s="22" t="str">
        <f aca="false">IF(C57="","",C57-'Trip Overview'!$C$6+1)</f>
        <v/>
      </c>
      <c r="C57" s="23"/>
      <c r="D57" s="24"/>
      <c r="E57" s="9"/>
      <c r="F57" s="9"/>
      <c r="G57" s="9"/>
      <c r="H57" s="14"/>
      <c r="I57" s="9"/>
    </row>
    <row r="58" customFormat="false" ht="15" hidden="false" customHeight="false" outlineLevel="0" collapsed="false">
      <c r="B58" s="22" t="str">
        <f aca="false">IF(C58="","",C58-'Trip Overview'!$C$6+1)</f>
        <v/>
      </c>
      <c r="C58" s="23"/>
      <c r="D58" s="24"/>
      <c r="E58" s="9"/>
      <c r="F58" s="9"/>
      <c r="G58" s="9"/>
      <c r="H58" s="14"/>
      <c r="I58" s="9"/>
    </row>
    <row r="59" customFormat="false" ht="15" hidden="false" customHeight="false" outlineLevel="0" collapsed="false">
      <c r="B59" s="22" t="str">
        <f aca="false">IF(C59="","",C59-'Trip Overview'!$C$6+1)</f>
        <v/>
      </c>
      <c r="C59" s="23"/>
      <c r="D59" s="24"/>
      <c r="E59" s="9"/>
      <c r="F59" s="9"/>
      <c r="G59" s="9"/>
      <c r="H59" s="14"/>
      <c r="I59" s="9"/>
    </row>
    <row r="60" customFormat="false" ht="15" hidden="false" customHeight="false" outlineLevel="0" collapsed="false">
      <c r="B60" s="22" t="str">
        <f aca="false">IF(C60="","",C60-'Trip Overview'!$C$6+1)</f>
        <v/>
      </c>
      <c r="C60" s="23"/>
      <c r="D60" s="24"/>
      <c r="E60" s="9"/>
      <c r="F60" s="9"/>
      <c r="G60" s="9"/>
      <c r="H60" s="14"/>
      <c r="I60" s="9"/>
    </row>
    <row r="61" customFormat="false" ht="15" hidden="false" customHeight="false" outlineLevel="0" collapsed="false">
      <c r="B61" s="22" t="str">
        <f aca="false">IF(C61="","",C61-'Trip Overview'!$C$6+1)</f>
        <v/>
      </c>
      <c r="C61" s="23"/>
      <c r="D61" s="24"/>
      <c r="E61" s="9"/>
      <c r="F61" s="9"/>
      <c r="G61" s="9"/>
      <c r="H61" s="14"/>
      <c r="I61" s="9"/>
    </row>
    <row r="62" customFormat="false" ht="15" hidden="false" customHeight="false" outlineLevel="0" collapsed="false">
      <c r="B62" s="22" t="str">
        <f aca="false">IF(C62="","",C62-'Trip Overview'!$C$6+1)</f>
        <v/>
      </c>
      <c r="C62" s="23"/>
      <c r="D62" s="24"/>
      <c r="E62" s="9"/>
      <c r="F62" s="9"/>
      <c r="G62" s="9"/>
      <c r="H62" s="14"/>
      <c r="I62" s="9"/>
    </row>
    <row r="63" customFormat="false" ht="15" hidden="false" customHeight="false" outlineLevel="0" collapsed="false">
      <c r="B63" s="22" t="str">
        <f aca="false">IF(C63="","",C63-'Trip Overview'!$C$6+1)</f>
        <v/>
      </c>
      <c r="C63" s="23"/>
      <c r="D63" s="24"/>
      <c r="E63" s="9"/>
      <c r="F63" s="9"/>
      <c r="G63" s="9"/>
      <c r="H63" s="14"/>
      <c r="I63" s="9"/>
    </row>
    <row r="64" customFormat="false" ht="15" hidden="false" customHeight="false" outlineLevel="0" collapsed="false">
      <c r="B64" s="22" t="str">
        <f aca="false">IF(C64="","",C64-'Trip Overview'!$C$6+1)</f>
        <v/>
      </c>
      <c r="C64" s="23"/>
      <c r="D64" s="24"/>
      <c r="E64" s="9"/>
      <c r="F64" s="9"/>
      <c r="G64" s="9"/>
      <c r="H64" s="14"/>
      <c r="I64" s="9"/>
    </row>
    <row r="65" customFormat="false" ht="15" hidden="false" customHeight="false" outlineLevel="0" collapsed="false">
      <c r="B65" s="22" t="str">
        <f aca="false">IF(C65="","",C65-'Trip Overview'!$C$6+1)</f>
        <v/>
      </c>
      <c r="C65" s="23"/>
      <c r="D65" s="24"/>
      <c r="E65" s="9"/>
      <c r="F65" s="9"/>
      <c r="G65" s="9"/>
      <c r="H65" s="14"/>
      <c r="I65" s="9"/>
    </row>
    <row r="66" customFormat="false" ht="15" hidden="false" customHeight="false" outlineLevel="0" collapsed="false">
      <c r="B66" s="22" t="str">
        <f aca="false">IF(C66="","",C66-'Trip Overview'!$C$6+1)</f>
        <v/>
      </c>
      <c r="C66" s="23"/>
      <c r="D66" s="24"/>
      <c r="E66" s="9"/>
      <c r="F66" s="9"/>
      <c r="G66" s="9"/>
      <c r="H66" s="14"/>
      <c r="I66" s="9"/>
    </row>
    <row r="67" customFormat="false" ht="15" hidden="false" customHeight="false" outlineLevel="0" collapsed="false">
      <c r="B67" s="22" t="str">
        <f aca="false">IF(C67="","",C67-'Trip Overview'!$C$6+1)</f>
        <v/>
      </c>
      <c r="C67" s="23"/>
      <c r="D67" s="24"/>
      <c r="E67" s="9"/>
      <c r="F67" s="9"/>
      <c r="G67" s="9"/>
      <c r="H67" s="14"/>
      <c r="I67" s="9"/>
    </row>
    <row r="68" customFormat="false" ht="15" hidden="false" customHeight="false" outlineLevel="0" collapsed="false">
      <c r="B68" s="22" t="str">
        <f aca="false">IF(C68="","",C68-'Trip Overview'!$C$6+1)</f>
        <v/>
      </c>
      <c r="C68" s="23"/>
      <c r="D68" s="24"/>
      <c r="E68" s="9"/>
      <c r="F68" s="9"/>
      <c r="G68" s="9"/>
      <c r="H68" s="14"/>
      <c r="I68" s="9"/>
    </row>
    <row r="69" customFormat="false" ht="15" hidden="false" customHeight="false" outlineLevel="0" collapsed="false">
      <c r="B69" s="22" t="str">
        <f aca="false">IF(C69="","",C69-'Trip Overview'!$C$6+1)</f>
        <v/>
      </c>
      <c r="C69" s="23"/>
      <c r="D69" s="24"/>
      <c r="E69" s="9"/>
      <c r="F69" s="9"/>
      <c r="G69" s="9"/>
      <c r="H69" s="14"/>
      <c r="I69" s="9"/>
    </row>
    <row r="70" customFormat="false" ht="15" hidden="false" customHeight="false" outlineLevel="0" collapsed="false">
      <c r="B70" s="22" t="str">
        <f aca="false">IF(C70="","",C70-'Trip Overview'!$C$6+1)</f>
        <v/>
      </c>
      <c r="C70" s="23"/>
      <c r="D70" s="24"/>
      <c r="E70" s="9"/>
      <c r="F70" s="9"/>
      <c r="G70" s="9"/>
      <c r="H70" s="14"/>
      <c r="I70" s="9"/>
    </row>
    <row r="71" customFormat="false" ht="15" hidden="false" customHeight="false" outlineLevel="0" collapsed="false">
      <c r="B71" s="22" t="str">
        <f aca="false">IF(C71="","",C71-'Trip Overview'!$C$6+1)</f>
        <v/>
      </c>
      <c r="C71" s="23"/>
      <c r="D71" s="24"/>
      <c r="E71" s="9"/>
      <c r="F71" s="9"/>
      <c r="G71" s="9"/>
      <c r="H71" s="14"/>
      <c r="I71" s="9"/>
    </row>
    <row r="72" customFormat="false" ht="15" hidden="false" customHeight="false" outlineLevel="0" collapsed="false">
      <c r="B72" s="22" t="str">
        <f aca="false">IF(C72="","",C72-'Trip Overview'!$C$6+1)</f>
        <v/>
      </c>
      <c r="C72" s="23"/>
      <c r="D72" s="24"/>
      <c r="E72" s="9"/>
      <c r="F72" s="9"/>
      <c r="G72" s="9"/>
      <c r="H72" s="14"/>
      <c r="I72" s="9"/>
    </row>
    <row r="73" customFormat="false" ht="15" hidden="false" customHeight="false" outlineLevel="0" collapsed="false">
      <c r="B73" s="22" t="str">
        <f aca="false">IF(C73="","",C73-'Trip Overview'!$C$6+1)</f>
        <v/>
      </c>
      <c r="C73" s="23"/>
      <c r="D73" s="24"/>
      <c r="E73" s="9"/>
      <c r="F73" s="9"/>
      <c r="G73" s="9"/>
      <c r="H73" s="14"/>
      <c r="I73" s="9"/>
    </row>
    <row r="74" customFormat="false" ht="15" hidden="false" customHeight="false" outlineLevel="0" collapsed="false">
      <c r="B74" s="22" t="str">
        <f aca="false">IF(C74="","",C74-'Trip Overview'!$C$6+1)</f>
        <v/>
      </c>
      <c r="C74" s="23"/>
      <c r="D74" s="24"/>
      <c r="E74" s="9"/>
      <c r="F74" s="9"/>
      <c r="G74" s="9"/>
      <c r="H74" s="14"/>
      <c r="I74" s="9"/>
    </row>
    <row r="75" customFormat="false" ht="15" hidden="false" customHeight="false" outlineLevel="0" collapsed="false">
      <c r="B75" s="22" t="str">
        <f aca="false">IF(C75="","",C75-'Trip Overview'!$C$6+1)</f>
        <v/>
      </c>
      <c r="C75" s="23"/>
      <c r="D75" s="24"/>
      <c r="E75" s="9"/>
      <c r="F75" s="9"/>
      <c r="G75" s="9"/>
      <c r="H75" s="14"/>
      <c r="I75" s="9"/>
    </row>
    <row r="76" customFormat="false" ht="15" hidden="false" customHeight="false" outlineLevel="0" collapsed="false">
      <c r="B76" s="22" t="str">
        <f aca="false">IF(C76="","",C76-'Trip Overview'!$C$6+1)</f>
        <v/>
      </c>
      <c r="C76" s="23"/>
      <c r="D76" s="24"/>
      <c r="E76" s="9"/>
      <c r="F76" s="9"/>
      <c r="G76" s="9"/>
      <c r="H76" s="14"/>
      <c r="I76" s="9"/>
    </row>
    <row r="77" customFormat="false" ht="15" hidden="false" customHeight="false" outlineLevel="0" collapsed="false">
      <c r="B77" s="22" t="str">
        <f aca="false">IF(C77="","",C77-'Trip Overview'!$C$6+1)</f>
        <v/>
      </c>
      <c r="C77" s="23"/>
      <c r="D77" s="24"/>
      <c r="E77" s="9"/>
      <c r="F77" s="9"/>
      <c r="G77" s="9"/>
      <c r="H77" s="14"/>
      <c r="I77" s="9"/>
    </row>
    <row r="78" customFormat="false" ht="15" hidden="false" customHeight="false" outlineLevel="0" collapsed="false">
      <c r="B78" s="22" t="str">
        <f aca="false">IF(C78="","",C78-'Trip Overview'!$C$6+1)</f>
        <v/>
      </c>
      <c r="C78" s="23"/>
      <c r="D78" s="24"/>
      <c r="E78" s="9"/>
      <c r="F78" s="9"/>
      <c r="G78" s="9"/>
      <c r="H78" s="14"/>
      <c r="I78" s="9"/>
    </row>
    <row r="79" customFormat="false" ht="15" hidden="false" customHeight="false" outlineLevel="0" collapsed="false">
      <c r="B79" s="22" t="str">
        <f aca="false">IF(C79="","",C79-'Trip Overview'!$C$6+1)</f>
        <v/>
      </c>
      <c r="C79" s="23"/>
      <c r="D79" s="24"/>
      <c r="E79" s="9"/>
      <c r="F79" s="9"/>
      <c r="G79" s="9"/>
      <c r="H79" s="14"/>
      <c r="I79" s="9"/>
    </row>
    <row r="80" customFormat="false" ht="15" hidden="false" customHeight="false" outlineLevel="0" collapsed="false">
      <c r="B80" s="22" t="str">
        <f aca="false">IF(C80="","",C80-'Trip Overview'!$C$6+1)</f>
        <v/>
      </c>
      <c r="C80" s="23"/>
      <c r="D80" s="24"/>
      <c r="E80" s="9"/>
      <c r="F80" s="9"/>
      <c r="G80" s="9"/>
      <c r="H80" s="14"/>
      <c r="I80" s="9"/>
    </row>
    <row r="81" customFormat="false" ht="15" hidden="false" customHeight="false" outlineLevel="0" collapsed="false">
      <c r="B81" s="22" t="str">
        <f aca="false">IF(C81="","",C81-'Trip Overview'!$C$6+1)</f>
        <v/>
      </c>
      <c r="C81" s="23"/>
      <c r="D81" s="24"/>
      <c r="E81" s="9"/>
      <c r="F81" s="9"/>
      <c r="G81" s="9"/>
      <c r="H81" s="14"/>
      <c r="I81" s="9"/>
    </row>
    <row r="82" customFormat="false" ht="15" hidden="false" customHeight="false" outlineLevel="0" collapsed="false">
      <c r="B82" s="22" t="str">
        <f aca="false">IF(C82="","",C82-'Trip Overview'!$C$6+1)</f>
        <v/>
      </c>
      <c r="C82" s="23"/>
      <c r="D82" s="24"/>
      <c r="E82" s="9"/>
      <c r="F82" s="9"/>
      <c r="G82" s="9"/>
      <c r="H82" s="14"/>
      <c r="I82" s="9"/>
    </row>
    <row r="83" customFormat="false" ht="15" hidden="false" customHeight="false" outlineLevel="0" collapsed="false">
      <c r="B83" s="22" t="str">
        <f aca="false">IF(C83="","",C83-'Trip Overview'!$C$6+1)</f>
        <v/>
      </c>
      <c r="C83" s="23"/>
      <c r="D83" s="24"/>
      <c r="E83" s="9"/>
      <c r="F83" s="9"/>
      <c r="G83" s="9"/>
      <c r="H83" s="14"/>
      <c r="I83" s="9"/>
    </row>
    <row r="84" customFormat="false" ht="15" hidden="false" customHeight="false" outlineLevel="0" collapsed="false">
      <c r="B84" s="22" t="str">
        <f aca="false">IF(C84="","",C84-'Trip Overview'!$C$6+1)</f>
        <v/>
      </c>
      <c r="C84" s="23"/>
      <c r="D84" s="24"/>
      <c r="E84" s="9"/>
      <c r="F84" s="9"/>
      <c r="G84" s="9"/>
      <c r="H84" s="14"/>
      <c r="I84" s="9"/>
    </row>
    <row r="85" customFormat="false" ht="15" hidden="false" customHeight="false" outlineLevel="0" collapsed="false">
      <c r="B85" s="22" t="str">
        <f aca="false">IF(C85="","",C85-'Trip Overview'!$C$6+1)</f>
        <v/>
      </c>
      <c r="C85" s="23"/>
      <c r="D85" s="24"/>
      <c r="E85" s="9"/>
      <c r="F85" s="9"/>
      <c r="G85" s="9"/>
      <c r="H85" s="14"/>
      <c r="I85" s="9"/>
    </row>
    <row r="86" customFormat="false" ht="15" hidden="false" customHeight="false" outlineLevel="0" collapsed="false">
      <c r="B86" s="22" t="str">
        <f aca="false">IF(C86="","",C86-'Trip Overview'!$C$6+1)</f>
        <v/>
      </c>
      <c r="C86" s="23"/>
      <c r="D86" s="24"/>
      <c r="E86" s="9"/>
      <c r="F86" s="9"/>
      <c r="G86" s="9"/>
      <c r="H86" s="14"/>
      <c r="I86" s="9"/>
    </row>
    <row r="87" customFormat="false" ht="15" hidden="false" customHeight="false" outlineLevel="0" collapsed="false">
      <c r="B87" s="22" t="str">
        <f aca="false">IF(C87="","",C87-'Trip Overview'!$C$6+1)</f>
        <v/>
      </c>
      <c r="C87" s="23"/>
      <c r="D87" s="24"/>
      <c r="E87" s="9"/>
      <c r="F87" s="9"/>
      <c r="G87" s="9"/>
      <c r="H87" s="14"/>
      <c r="I87" s="9"/>
    </row>
    <row r="88" customFormat="false" ht="15" hidden="false" customHeight="false" outlineLevel="0" collapsed="false">
      <c r="B88" s="22" t="str">
        <f aca="false">IF(C88="","",C88-'Trip Overview'!$C$6+1)</f>
        <v/>
      </c>
      <c r="C88" s="23"/>
      <c r="D88" s="24"/>
      <c r="E88" s="9"/>
      <c r="F88" s="9"/>
      <c r="G88" s="9"/>
      <c r="H88" s="14"/>
      <c r="I88" s="9"/>
    </row>
    <row r="89" customFormat="false" ht="15" hidden="false" customHeight="false" outlineLevel="0" collapsed="false">
      <c r="B89" s="22" t="str">
        <f aca="false">IF(C89="","",C89-'Trip Overview'!$C$6+1)</f>
        <v/>
      </c>
      <c r="C89" s="23"/>
      <c r="D89" s="24"/>
      <c r="E89" s="9"/>
      <c r="F89" s="9"/>
      <c r="G89" s="9"/>
      <c r="H89" s="14"/>
      <c r="I89" s="9"/>
    </row>
    <row r="90" customFormat="false" ht="15" hidden="false" customHeight="false" outlineLevel="0" collapsed="false">
      <c r="B90" s="22" t="str">
        <f aca="false">IF(C90="","",C90-'Trip Overview'!$C$6+1)</f>
        <v/>
      </c>
      <c r="C90" s="23"/>
      <c r="D90" s="24"/>
      <c r="E90" s="9"/>
      <c r="F90" s="9"/>
      <c r="G90" s="9"/>
      <c r="H90" s="14"/>
      <c r="I90" s="9"/>
    </row>
    <row r="91" customFormat="false" ht="15" hidden="false" customHeight="false" outlineLevel="0" collapsed="false">
      <c r="B91" s="22" t="str">
        <f aca="false">IF(C91="","",C91-'Trip Overview'!$C$6+1)</f>
        <v/>
      </c>
      <c r="C91" s="23"/>
      <c r="D91" s="24"/>
      <c r="E91" s="9"/>
      <c r="F91" s="9"/>
      <c r="G91" s="9"/>
      <c r="H91" s="14"/>
      <c r="I91" s="9"/>
    </row>
    <row r="92" customFormat="false" ht="15" hidden="false" customHeight="false" outlineLevel="0" collapsed="false">
      <c r="B92" s="22" t="str">
        <f aca="false">IF(C92="","",C92-'Trip Overview'!$C$6+1)</f>
        <v/>
      </c>
      <c r="C92" s="23"/>
      <c r="D92" s="24"/>
      <c r="E92" s="9"/>
      <c r="F92" s="9"/>
      <c r="G92" s="9"/>
      <c r="H92" s="14"/>
      <c r="I92" s="9"/>
    </row>
    <row r="93" customFormat="false" ht="15" hidden="false" customHeight="false" outlineLevel="0" collapsed="false">
      <c r="B93" s="22" t="str">
        <f aca="false">IF(C93="","",C93-'Trip Overview'!$C$6+1)</f>
        <v/>
      </c>
      <c r="C93" s="23"/>
      <c r="D93" s="24"/>
      <c r="E93" s="9"/>
      <c r="F93" s="9"/>
      <c r="G93" s="9"/>
      <c r="H93" s="14"/>
      <c r="I93" s="9"/>
    </row>
    <row r="94" customFormat="false" ht="15" hidden="false" customHeight="false" outlineLevel="0" collapsed="false">
      <c r="B94" s="22" t="str">
        <f aca="false">IF(C94="","",C94-'Trip Overview'!$C$6+1)</f>
        <v/>
      </c>
      <c r="C94" s="23"/>
      <c r="D94" s="24"/>
      <c r="E94" s="9"/>
      <c r="F94" s="9"/>
      <c r="G94" s="9"/>
      <c r="H94" s="14"/>
      <c r="I94" s="9"/>
    </row>
    <row r="95" customFormat="false" ht="15" hidden="false" customHeight="false" outlineLevel="0" collapsed="false">
      <c r="B95" s="22" t="str">
        <f aca="false">IF(C95="","",C95-'Trip Overview'!$C$6+1)</f>
        <v/>
      </c>
      <c r="C95" s="23"/>
      <c r="D95" s="24"/>
      <c r="E95" s="9"/>
      <c r="F95" s="9"/>
      <c r="G95" s="9"/>
      <c r="H95" s="14"/>
      <c r="I95" s="9"/>
    </row>
    <row r="96" customFormat="false" ht="15" hidden="false" customHeight="false" outlineLevel="0" collapsed="false">
      <c r="B96" s="22" t="str">
        <f aca="false">IF(C96="","",C96-'Trip Overview'!$C$6+1)</f>
        <v/>
      </c>
      <c r="C96" s="23"/>
      <c r="D96" s="24"/>
      <c r="E96" s="9"/>
      <c r="F96" s="9"/>
      <c r="G96" s="9"/>
      <c r="H96" s="14"/>
      <c r="I96" s="9"/>
    </row>
    <row r="97" customFormat="false" ht="15" hidden="false" customHeight="false" outlineLevel="0" collapsed="false">
      <c r="B97" s="22" t="str">
        <f aca="false">IF(C97="","",C97-'Trip Overview'!$C$6+1)</f>
        <v/>
      </c>
      <c r="C97" s="23"/>
      <c r="D97" s="24"/>
      <c r="E97" s="9"/>
      <c r="F97" s="9"/>
      <c r="G97" s="9"/>
      <c r="H97" s="14"/>
      <c r="I97" s="9"/>
    </row>
    <row r="98" customFormat="false" ht="15" hidden="false" customHeight="false" outlineLevel="0" collapsed="false">
      <c r="B98" s="22" t="str">
        <f aca="false">IF(C98="","",C98-'Trip Overview'!$C$6+1)</f>
        <v/>
      </c>
      <c r="C98" s="23"/>
      <c r="D98" s="24"/>
      <c r="E98" s="9"/>
      <c r="F98" s="9"/>
      <c r="G98" s="9"/>
      <c r="H98" s="14"/>
      <c r="I98" s="9"/>
    </row>
    <row r="99" customFormat="false" ht="15" hidden="false" customHeight="false" outlineLevel="0" collapsed="false">
      <c r="B99" s="22" t="str">
        <f aca="false">IF(C99="","",C99-'Trip Overview'!$C$6+1)</f>
        <v/>
      </c>
      <c r="C99" s="23"/>
      <c r="D99" s="24"/>
      <c r="E99" s="9"/>
      <c r="F99" s="9"/>
      <c r="G99" s="9"/>
      <c r="H99" s="14"/>
      <c r="I99" s="9"/>
    </row>
    <row r="100" customFormat="false" ht="15" hidden="false" customHeight="false" outlineLevel="0" collapsed="false">
      <c r="B100" s="22" t="str">
        <f aca="false">IF(C100="","",C100-'Trip Overview'!$C$6+1)</f>
        <v/>
      </c>
      <c r="C100" s="23"/>
      <c r="D100" s="24"/>
      <c r="E100" s="9"/>
      <c r="F100" s="9"/>
      <c r="G100" s="9"/>
      <c r="H100" s="14"/>
      <c r="I100" s="9"/>
    </row>
    <row r="101" customFormat="false" ht="15" hidden="false" customHeight="false" outlineLevel="0" collapsed="false">
      <c r="B101" s="22" t="str">
        <f aca="false">IF(C101="","",C101-'Trip Overview'!$C$6+1)</f>
        <v/>
      </c>
      <c r="C101" s="23"/>
      <c r="D101" s="24"/>
      <c r="E101" s="9"/>
      <c r="F101" s="9"/>
      <c r="G101" s="9"/>
      <c r="H101" s="14"/>
      <c r="I101" s="9"/>
    </row>
    <row r="102" customFormat="false" ht="15" hidden="false" customHeight="false" outlineLevel="0" collapsed="false">
      <c r="B102" s="22" t="str">
        <f aca="false">IF(C102="","",C102-'Trip Overview'!$C$6+1)</f>
        <v/>
      </c>
      <c r="C102" s="23"/>
      <c r="D102" s="24"/>
      <c r="E102" s="9"/>
      <c r="F102" s="9"/>
      <c r="G102" s="9"/>
      <c r="H102" s="14"/>
      <c r="I102" s="9"/>
    </row>
    <row r="103" customFormat="false" ht="15" hidden="false" customHeight="false" outlineLevel="0" collapsed="false">
      <c r="B103" s="22" t="str">
        <f aca="false">IF(C103="","",C103-'Trip Overview'!$C$6+1)</f>
        <v/>
      </c>
      <c r="C103" s="23"/>
      <c r="D103" s="24"/>
      <c r="E103" s="9"/>
      <c r="F103" s="9"/>
      <c r="G103" s="9"/>
      <c r="H103" s="14"/>
      <c r="I103" s="9"/>
    </row>
    <row r="104" customFormat="false" ht="15" hidden="false" customHeight="false" outlineLevel="0" collapsed="false">
      <c r="B104" s="22" t="str">
        <f aca="false">IF(C104="","",C104-'Trip Overview'!$C$6+1)</f>
        <v/>
      </c>
      <c r="C104" s="23"/>
      <c r="D104" s="24"/>
      <c r="E104" s="9"/>
      <c r="F104" s="9"/>
      <c r="G104" s="9"/>
      <c r="H104" s="14"/>
      <c r="I104" s="9"/>
    </row>
    <row r="105" customFormat="false" ht="15" hidden="false" customHeight="false" outlineLevel="0" collapsed="false">
      <c r="B105" s="22" t="str">
        <f aca="false">IF(C105="","",C105-'Trip Overview'!$C$6+1)</f>
        <v/>
      </c>
      <c r="C105" s="23"/>
      <c r="D105" s="24"/>
      <c r="E105" s="9"/>
      <c r="F105" s="9"/>
      <c r="G105" s="9"/>
      <c r="H105" s="14"/>
      <c r="I105" s="9"/>
    </row>
    <row r="106" customFormat="false" ht="15" hidden="false" customHeight="false" outlineLevel="0" collapsed="false">
      <c r="G106" s="12" t="s">
        <v>62</v>
      </c>
      <c r="H106" s="25" t="n">
        <f aca="false">SUM(H6:H105)</f>
        <v>75</v>
      </c>
    </row>
  </sheetData>
  <conditionalFormatting sqref="B6:I105">
    <cfRule type="expression" priority="2" aboveAverage="0" equalAverage="0" bottom="0" percent="0" rank="0" text="" dxfId="1">
      <formula>MOD($B6,2)=0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9B5A"/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4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6" hidden="false" customHeight="true" outlineLevel="0" collapsed="false">
      <c r="A1" s="1"/>
      <c r="B1" s="2"/>
      <c r="C1" s="3"/>
      <c r="D1" s="11"/>
      <c r="E1" s="1"/>
      <c r="F1" s="2"/>
      <c r="G1" s="3"/>
      <c r="H1" s="11"/>
      <c r="I1" s="1"/>
    </row>
    <row r="2" customFormat="false" ht="31.5" hidden="false" customHeight="true" outlineLevel="0" collapsed="false">
      <c r="A2" s="4"/>
      <c r="B2" s="5" t="s">
        <v>63</v>
      </c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4"/>
      <c r="B3" s="6" t="s">
        <v>64</v>
      </c>
      <c r="C3" s="4"/>
      <c r="D3" s="4"/>
      <c r="E3" s="4"/>
      <c r="F3" s="4"/>
      <c r="G3" s="4"/>
      <c r="H3" s="4"/>
      <c r="I3" s="4"/>
    </row>
    <row r="5" customFormat="false" ht="21.75" hidden="false" customHeight="true" outlineLevel="0" collapsed="false">
      <c r="B5" s="15" t="s">
        <v>65</v>
      </c>
      <c r="C5" s="15" t="s">
        <v>33</v>
      </c>
      <c r="D5" s="15" t="s">
        <v>66</v>
      </c>
      <c r="E5" s="15" t="s">
        <v>67</v>
      </c>
      <c r="G5" s="21" t="s">
        <v>68</v>
      </c>
      <c r="H5" s="21" t="s">
        <v>69</v>
      </c>
    </row>
    <row r="6" customFormat="false" ht="15" hidden="false" customHeight="false" outlineLevel="0" collapsed="false">
      <c r="B6" s="9" t="s">
        <v>70</v>
      </c>
      <c r="C6" s="14" t="n">
        <v>600</v>
      </c>
      <c r="D6" s="26" t="n">
        <f aca="false">SUMIFS(Expenses!$E$6:$E$205,Expenses!$D$6:$D$205,B6)</f>
        <v>420</v>
      </c>
      <c r="E6" s="26" t="n">
        <f aca="false">C6-D6</f>
        <v>180</v>
      </c>
      <c r="G6" s="9" t="s">
        <v>71</v>
      </c>
      <c r="H6" s="26" t="n">
        <f aca="false">IF(G6="","",SUMIFS(Expenses!$E$6:$E$205,Expenses!$F$6:$F$205,G6))</f>
        <v>448</v>
      </c>
    </row>
    <row r="7" customFormat="false" ht="15" hidden="false" customHeight="false" outlineLevel="0" collapsed="false">
      <c r="B7" s="9" t="s">
        <v>21</v>
      </c>
      <c r="C7" s="14" t="n">
        <v>800</v>
      </c>
      <c r="D7" s="26" t="n">
        <f aca="false">SUMIFS(Expenses!$E$6:$E$205,Expenses!$D$6:$D$205,B7)</f>
        <v>780</v>
      </c>
      <c r="E7" s="26" t="n">
        <f aca="false">C7-D7</f>
        <v>20</v>
      </c>
      <c r="G7" s="9" t="s">
        <v>72</v>
      </c>
      <c r="H7" s="26" t="n">
        <f aca="false">IF(G7="","",SUMIFS(Expenses!$E$6:$E$205,Expenses!$F$6:$F$205,G7))</f>
        <v>780</v>
      </c>
    </row>
    <row r="8" customFormat="false" ht="15" hidden="false" customHeight="false" outlineLevel="0" collapsed="false">
      <c r="B8" s="9" t="s">
        <v>73</v>
      </c>
      <c r="C8" s="14" t="n">
        <v>150</v>
      </c>
      <c r="D8" s="26" t="n">
        <f aca="false">SUMIFS(Expenses!$E$6:$E$205,Expenses!$D$6:$D$205,B8)</f>
        <v>28</v>
      </c>
      <c r="E8" s="26" t="n">
        <f aca="false">C8-D8</f>
        <v>122</v>
      </c>
      <c r="G8" s="9"/>
      <c r="H8" s="26" t="str">
        <f aca="false">IF(G8="","",SUMIFS(Expenses!$E$6:$E$205,Expenses!$F$6:$F$205,G8))</f>
        <v/>
      </c>
    </row>
    <row r="9" customFormat="false" ht="15" hidden="false" customHeight="false" outlineLevel="0" collapsed="false">
      <c r="B9" s="9" t="s">
        <v>74</v>
      </c>
      <c r="C9" s="14" t="n">
        <v>450</v>
      </c>
      <c r="D9" s="26" t="n">
        <f aca="false">SUMIFS(Expenses!$E$6:$E$205,Expenses!$D$6:$D$205,B9)</f>
        <v>0</v>
      </c>
      <c r="E9" s="26" t="n">
        <f aca="false">C9-D9</f>
        <v>450</v>
      </c>
      <c r="G9" s="9"/>
      <c r="H9" s="26" t="str">
        <f aca="false">IF(G9="","",SUMIFS(Expenses!$E$6:$E$205,Expenses!$F$6:$F$205,G9))</f>
        <v/>
      </c>
    </row>
    <row r="10" customFormat="false" ht="15" hidden="false" customHeight="false" outlineLevel="0" collapsed="false">
      <c r="B10" s="9" t="s">
        <v>75</v>
      </c>
      <c r="C10" s="14" t="n">
        <v>300</v>
      </c>
      <c r="D10" s="26" t="n">
        <f aca="false">SUMIFS(Expenses!$E$6:$E$205,Expenses!$D$6:$D$205,B10)</f>
        <v>0</v>
      </c>
      <c r="E10" s="26" t="n">
        <f aca="false">C10-D10</f>
        <v>300</v>
      </c>
      <c r="G10" s="9"/>
      <c r="H10" s="26" t="str">
        <f aca="false">IF(G10="","",SUMIFS(Expenses!$E$6:$E$205,Expenses!$F$6:$F$205,G10))</f>
        <v/>
      </c>
    </row>
    <row r="11" customFormat="false" ht="15" hidden="false" customHeight="false" outlineLevel="0" collapsed="false">
      <c r="B11" s="9" t="s">
        <v>76</v>
      </c>
      <c r="C11" s="14" t="n">
        <v>100</v>
      </c>
      <c r="D11" s="26" t="n">
        <f aca="false">SUMIFS(Expenses!$E$6:$E$205,Expenses!$D$6:$D$205,B11)</f>
        <v>0</v>
      </c>
      <c r="E11" s="26" t="n">
        <f aca="false">C11-D11</f>
        <v>100</v>
      </c>
    </row>
    <row r="12" customFormat="false" ht="15" hidden="false" customHeight="false" outlineLevel="0" collapsed="false">
      <c r="B12" s="9" t="s">
        <v>77</v>
      </c>
      <c r="C12" s="14" t="n">
        <v>50</v>
      </c>
      <c r="D12" s="26" t="n">
        <f aca="false">SUMIFS(Expenses!$E$6:$E$205,Expenses!$D$6:$D$205,B12)</f>
        <v>0</v>
      </c>
      <c r="E12" s="26" t="n">
        <f aca="false">C12-D12</f>
        <v>50</v>
      </c>
      <c r="G12" s="12" t="s">
        <v>78</v>
      </c>
      <c r="H12" s="25" t="n">
        <f aca="false">IF(COUNTA(G6:G10)=0,"",D14/COUNTA(G6:G10))</f>
        <v>614</v>
      </c>
    </row>
    <row r="13" customFormat="false" ht="15" hidden="false" customHeight="false" outlineLevel="0" collapsed="false">
      <c r="B13" s="9" t="s">
        <v>79</v>
      </c>
      <c r="C13" s="14" t="n">
        <v>50</v>
      </c>
      <c r="D13" s="26" t="n">
        <f aca="false">SUMIFS(Expenses!$E$6:$E$205,Expenses!$D$6:$D$205,B13)</f>
        <v>0</v>
      </c>
      <c r="E13" s="26" t="n">
        <f aca="false">C13-D13</f>
        <v>50</v>
      </c>
      <c r="G13" s="27" t="s">
        <v>80</v>
      </c>
    </row>
    <row r="14" customFormat="false" ht="15" hidden="false" customHeight="false" outlineLevel="0" collapsed="false">
      <c r="B14" s="12" t="s">
        <v>62</v>
      </c>
      <c r="C14" s="25" t="n">
        <f aca="false">SUM(C6:C13)</f>
        <v>2500</v>
      </c>
      <c r="D14" s="25" t="n">
        <f aca="false">SUM(D6:D13)</f>
        <v>1228</v>
      </c>
      <c r="E14" s="25" t="n">
        <f aca="false">SUM(E6:E13)</f>
        <v>1272</v>
      </c>
    </row>
  </sheetData>
  <conditionalFormatting sqref="E6:E1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452F"/>
    <pageSetUpPr fitToPage="false"/>
  </sheetPr>
  <dimension ref="A1:G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6" hidden="false" customHeight="true" outlineLevel="0" collapsed="false">
      <c r="A1" s="1"/>
      <c r="B1" s="2"/>
      <c r="C1" s="3"/>
      <c r="D1" s="11"/>
      <c r="E1" s="1"/>
      <c r="F1" s="2"/>
      <c r="G1" s="3"/>
    </row>
    <row r="2" customFormat="false" ht="31.5" hidden="false" customHeight="true" outlineLevel="0" collapsed="false">
      <c r="A2" s="4"/>
      <c r="B2" s="5" t="s">
        <v>81</v>
      </c>
      <c r="C2" s="4"/>
      <c r="D2" s="4"/>
      <c r="E2" s="4"/>
      <c r="F2" s="4"/>
      <c r="G2" s="4"/>
    </row>
    <row r="3" customFormat="false" ht="15" hidden="false" customHeight="false" outlineLevel="0" collapsed="false">
      <c r="A3" s="4"/>
      <c r="B3" s="6" t="s">
        <v>82</v>
      </c>
      <c r="C3" s="4"/>
      <c r="D3" s="4"/>
      <c r="E3" s="4"/>
      <c r="F3" s="4"/>
      <c r="G3" s="4"/>
    </row>
    <row r="5" customFormat="false" ht="21.75" hidden="false" customHeight="true" outlineLevel="0" collapsed="false">
      <c r="B5" s="28" t="s">
        <v>41</v>
      </c>
      <c r="C5" s="28" t="s">
        <v>83</v>
      </c>
      <c r="D5" s="28" t="s">
        <v>65</v>
      </c>
      <c r="E5" s="28" t="s">
        <v>84</v>
      </c>
      <c r="F5" s="28" t="s">
        <v>85</v>
      </c>
    </row>
    <row r="6" customFormat="false" ht="15" hidden="false" customHeight="false" outlineLevel="0" collapsed="false">
      <c r="B6" s="13" t="n">
        <v>46324</v>
      </c>
      <c r="C6" s="9" t="s">
        <v>86</v>
      </c>
      <c r="D6" s="9" t="s">
        <v>70</v>
      </c>
      <c r="E6" s="14" t="n">
        <v>420</v>
      </c>
      <c r="F6" s="9" t="s">
        <v>71</v>
      </c>
    </row>
    <row r="7" customFormat="false" ht="15" hidden="false" customHeight="false" outlineLevel="0" collapsed="false">
      <c r="B7" s="13" t="n">
        <v>46324</v>
      </c>
      <c r="C7" s="9" t="s">
        <v>87</v>
      </c>
      <c r="D7" s="9" t="s">
        <v>21</v>
      </c>
      <c r="E7" s="14" t="n">
        <v>780</v>
      </c>
      <c r="F7" s="9" t="s">
        <v>72</v>
      </c>
    </row>
    <row r="8" customFormat="false" ht="15" hidden="false" customHeight="false" outlineLevel="0" collapsed="false">
      <c r="B8" s="13" t="n">
        <v>46384</v>
      </c>
      <c r="C8" s="9" t="s">
        <v>88</v>
      </c>
      <c r="D8" s="9" t="s">
        <v>73</v>
      </c>
      <c r="E8" s="14" t="n">
        <v>28</v>
      </c>
      <c r="F8" s="9" t="s">
        <v>71</v>
      </c>
    </row>
    <row r="9" customFormat="false" ht="15" hidden="false" customHeight="false" outlineLevel="0" collapsed="false">
      <c r="B9" s="13"/>
      <c r="C9" s="9"/>
      <c r="D9" s="9"/>
      <c r="E9" s="14"/>
      <c r="F9" s="9"/>
    </row>
    <row r="10" customFormat="false" ht="15" hidden="false" customHeight="false" outlineLevel="0" collapsed="false">
      <c r="B10" s="13"/>
      <c r="C10" s="9"/>
      <c r="D10" s="9"/>
      <c r="E10" s="14"/>
      <c r="F10" s="9"/>
    </row>
    <row r="11" customFormat="false" ht="15" hidden="false" customHeight="false" outlineLevel="0" collapsed="false">
      <c r="B11" s="13"/>
      <c r="C11" s="9"/>
      <c r="D11" s="9"/>
      <c r="E11" s="14"/>
      <c r="F11" s="9"/>
    </row>
    <row r="12" customFormat="false" ht="15" hidden="false" customHeight="false" outlineLevel="0" collapsed="false">
      <c r="B12" s="13"/>
      <c r="C12" s="9"/>
      <c r="D12" s="9"/>
      <c r="E12" s="14"/>
      <c r="F12" s="9"/>
    </row>
    <row r="13" customFormat="false" ht="15" hidden="false" customHeight="false" outlineLevel="0" collapsed="false">
      <c r="B13" s="13"/>
      <c r="C13" s="9"/>
      <c r="D13" s="9"/>
      <c r="E13" s="14"/>
      <c r="F13" s="9"/>
    </row>
    <row r="14" customFormat="false" ht="15" hidden="false" customHeight="false" outlineLevel="0" collapsed="false">
      <c r="B14" s="13"/>
      <c r="C14" s="9"/>
      <c r="D14" s="9"/>
      <c r="E14" s="14"/>
      <c r="F14" s="9"/>
    </row>
    <row r="15" customFormat="false" ht="15" hidden="false" customHeight="false" outlineLevel="0" collapsed="false">
      <c r="B15" s="13"/>
      <c r="C15" s="9"/>
      <c r="D15" s="9"/>
      <c r="E15" s="14"/>
      <c r="F15" s="9"/>
    </row>
    <row r="16" customFormat="false" ht="15" hidden="false" customHeight="false" outlineLevel="0" collapsed="false">
      <c r="B16" s="13"/>
      <c r="C16" s="9"/>
      <c r="D16" s="9"/>
      <c r="E16" s="14"/>
      <c r="F16" s="9"/>
    </row>
    <row r="17" customFormat="false" ht="15" hidden="false" customHeight="false" outlineLevel="0" collapsed="false">
      <c r="B17" s="13"/>
      <c r="C17" s="9"/>
      <c r="D17" s="9"/>
      <c r="E17" s="14"/>
      <c r="F17" s="9"/>
    </row>
    <row r="18" customFormat="false" ht="15" hidden="false" customHeight="false" outlineLevel="0" collapsed="false">
      <c r="B18" s="13"/>
      <c r="C18" s="9"/>
      <c r="D18" s="9"/>
      <c r="E18" s="14"/>
      <c r="F18" s="9"/>
    </row>
    <row r="19" customFormat="false" ht="15" hidden="false" customHeight="false" outlineLevel="0" collapsed="false">
      <c r="B19" s="13"/>
      <c r="C19" s="9"/>
      <c r="D19" s="9"/>
      <c r="E19" s="14"/>
      <c r="F19" s="9"/>
    </row>
    <row r="20" customFormat="false" ht="15" hidden="false" customHeight="false" outlineLevel="0" collapsed="false">
      <c r="B20" s="13"/>
      <c r="C20" s="9"/>
      <c r="D20" s="9"/>
      <c r="E20" s="14"/>
      <c r="F20" s="9"/>
    </row>
    <row r="21" customFormat="false" ht="15" hidden="false" customHeight="false" outlineLevel="0" collapsed="false">
      <c r="B21" s="13"/>
      <c r="C21" s="9"/>
      <c r="D21" s="9"/>
      <c r="E21" s="14"/>
      <c r="F21" s="9"/>
    </row>
    <row r="22" customFormat="false" ht="15" hidden="false" customHeight="false" outlineLevel="0" collapsed="false">
      <c r="B22" s="13"/>
      <c r="C22" s="9"/>
      <c r="D22" s="9"/>
      <c r="E22" s="14"/>
      <c r="F22" s="9"/>
    </row>
    <row r="23" customFormat="false" ht="15" hidden="false" customHeight="false" outlineLevel="0" collapsed="false">
      <c r="B23" s="13"/>
      <c r="C23" s="9"/>
      <c r="D23" s="9"/>
      <c r="E23" s="14"/>
      <c r="F23" s="9"/>
    </row>
    <row r="24" customFormat="false" ht="15" hidden="false" customHeight="false" outlineLevel="0" collapsed="false">
      <c r="B24" s="13"/>
      <c r="C24" s="9"/>
      <c r="D24" s="9"/>
      <c r="E24" s="14"/>
      <c r="F24" s="9"/>
    </row>
    <row r="25" customFormat="false" ht="15" hidden="false" customHeight="false" outlineLevel="0" collapsed="false">
      <c r="B25" s="13"/>
      <c r="C25" s="9"/>
      <c r="D25" s="9"/>
      <c r="E25" s="14"/>
      <c r="F25" s="9"/>
    </row>
    <row r="26" customFormat="false" ht="15" hidden="false" customHeight="false" outlineLevel="0" collapsed="false">
      <c r="B26" s="13"/>
      <c r="C26" s="9"/>
      <c r="D26" s="9"/>
      <c r="E26" s="14"/>
      <c r="F26" s="9"/>
    </row>
    <row r="27" customFormat="false" ht="15" hidden="false" customHeight="false" outlineLevel="0" collapsed="false">
      <c r="B27" s="13"/>
      <c r="C27" s="9"/>
      <c r="D27" s="9"/>
      <c r="E27" s="14"/>
      <c r="F27" s="9"/>
    </row>
    <row r="28" customFormat="false" ht="15" hidden="false" customHeight="false" outlineLevel="0" collapsed="false">
      <c r="B28" s="13"/>
      <c r="C28" s="9"/>
      <c r="D28" s="9"/>
      <c r="E28" s="14"/>
      <c r="F28" s="9"/>
    </row>
    <row r="29" customFormat="false" ht="15" hidden="false" customHeight="false" outlineLevel="0" collapsed="false">
      <c r="B29" s="13"/>
      <c r="C29" s="9"/>
      <c r="D29" s="9"/>
      <c r="E29" s="14"/>
      <c r="F29" s="9"/>
    </row>
    <row r="30" customFormat="false" ht="15" hidden="false" customHeight="false" outlineLevel="0" collapsed="false">
      <c r="B30" s="13"/>
      <c r="C30" s="9"/>
      <c r="D30" s="9"/>
      <c r="E30" s="14"/>
      <c r="F30" s="9"/>
    </row>
    <row r="31" customFormat="false" ht="15" hidden="false" customHeight="false" outlineLevel="0" collapsed="false">
      <c r="B31" s="13"/>
      <c r="C31" s="9"/>
      <c r="D31" s="9"/>
      <c r="E31" s="14"/>
      <c r="F31" s="9"/>
    </row>
    <row r="32" customFormat="false" ht="15" hidden="false" customHeight="false" outlineLevel="0" collapsed="false">
      <c r="B32" s="13"/>
      <c r="C32" s="9"/>
      <c r="D32" s="9"/>
      <c r="E32" s="14"/>
      <c r="F32" s="9"/>
    </row>
    <row r="33" customFormat="false" ht="15" hidden="false" customHeight="false" outlineLevel="0" collapsed="false">
      <c r="B33" s="13"/>
      <c r="C33" s="9"/>
      <c r="D33" s="9"/>
      <c r="E33" s="14"/>
      <c r="F33" s="9"/>
    </row>
    <row r="34" customFormat="false" ht="15" hidden="false" customHeight="false" outlineLevel="0" collapsed="false">
      <c r="B34" s="13"/>
      <c r="C34" s="9"/>
      <c r="D34" s="9"/>
      <c r="E34" s="14"/>
      <c r="F34" s="9"/>
    </row>
    <row r="35" customFormat="false" ht="15" hidden="false" customHeight="false" outlineLevel="0" collapsed="false">
      <c r="B35" s="13"/>
      <c r="C35" s="9"/>
      <c r="D35" s="9"/>
      <c r="E35" s="14"/>
      <c r="F35" s="9"/>
    </row>
    <row r="36" customFormat="false" ht="15" hidden="false" customHeight="false" outlineLevel="0" collapsed="false">
      <c r="B36" s="13"/>
      <c r="C36" s="9"/>
      <c r="D36" s="9"/>
      <c r="E36" s="14"/>
      <c r="F36" s="9"/>
    </row>
    <row r="37" customFormat="false" ht="15" hidden="false" customHeight="false" outlineLevel="0" collapsed="false">
      <c r="B37" s="13"/>
      <c r="C37" s="9"/>
      <c r="D37" s="9"/>
      <c r="E37" s="14"/>
      <c r="F37" s="9"/>
    </row>
    <row r="38" customFormat="false" ht="15" hidden="false" customHeight="false" outlineLevel="0" collapsed="false">
      <c r="B38" s="13"/>
      <c r="C38" s="9"/>
      <c r="D38" s="9"/>
      <c r="E38" s="14"/>
      <c r="F38" s="9"/>
    </row>
    <row r="39" customFormat="false" ht="15" hidden="false" customHeight="false" outlineLevel="0" collapsed="false">
      <c r="B39" s="13"/>
      <c r="C39" s="9"/>
      <c r="D39" s="9"/>
      <c r="E39" s="14"/>
      <c r="F39" s="9"/>
    </row>
    <row r="40" customFormat="false" ht="15" hidden="false" customHeight="false" outlineLevel="0" collapsed="false">
      <c r="B40" s="13"/>
      <c r="C40" s="9"/>
      <c r="D40" s="9"/>
      <c r="E40" s="14"/>
      <c r="F40" s="9"/>
    </row>
    <row r="41" customFormat="false" ht="15" hidden="false" customHeight="false" outlineLevel="0" collapsed="false">
      <c r="B41" s="13"/>
      <c r="C41" s="9"/>
      <c r="D41" s="9"/>
      <c r="E41" s="14"/>
      <c r="F41" s="9"/>
    </row>
    <row r="42" customFormat="false" ht="15" hidden="false" customHeight="false" outlineLevel="0" collapsed="false">
      <c r="B42" s="13"/>
      <c r="C42" s="9"/>
      <c r="D42" s="9"/>
      <c r="E42" s="14"/>
      <c r="F42" s="9"/>
    </row>
    <row r="43" customFormat="false" ht="15" hidden="false" customHeight="false" outlineLevel="0" collapsed="false">
      <c r="B43" s="13"/>
      <c r="C43" s="9"/>
      <c r="D43" s="9"/>
      <c r="E43" s="14"/>
      <c r="F43" s="9"/>
    </row>
    <row r="44" customFormat="false" ht="15" hidden="false" customHeight="false" outlineLevel="0" collapsed="false">
      <c r="B44" s="13"/>
      <c r="C44" s="9"/>
      <c r="D44" s="9"/>
      <c r="E44" s="14"/>
      <c r="F44" s="9"/>
    </row>
    <row r="45" customFormat="false" ht="15" hidden="false" customHeight="false" outlineLevel="0" collapsed="false">
      <c r="B45" s="13"/>
      <c r="C45" s="9"/>
      <c r="D45" s="9"/>
      <c r="E45" s="14"/>
      <c r="F45" s="9"/>
    </row>
    <row r="46" customFormat="false" ht="15" hidden="false" customHeight="false" outlineLevel="0" collapsed="false">
      <c r="B46" s="13"/>
      <c r="C46" s="9"/>
      <c r="D46" s="9"/>
      <c r="E46" s="14"/>
      <c r="F46" s="9"/>
    </row>
    <row r="47" customFormat="false" ht="15" hidden="false" customHeight="false" outlineLevel="0" collapsed="false">
      <c r="B47" s="13"/>
      <c r="C47" s="9"/>
      <c r="D47" s="9"/>
      <c r="E47" s="14"/>
      <c r="F47" s="9"/>
    </row>
    <row r="48" customFormat="false" ht="15" hidden="false" customHeight="false" outlineLevel="0" collapsed="false">
      <c r="B48" s="13"/>
      <c r="C48" s="9"/>
      <c r="D48" s="9"/>
      <c r="E48" s="14"/>
      <c r="F48" s="9"/>
    </row>
    <row r="49" customFormat="false" ht="15" hidden="false" customHeight="false" outlineLevel="0" collapsed="false">
      <c r="B49" s="13"/>
      <c r="C49" s="9"/>
      <c r="D49" s="9"/>
      <c r="E49" s="14"/>
      <c r="F49" s="9"/>
    </row>
    <row r="50" customFormat="false" ht="15" hidden="false" customHeight="false" outlineLevel="0" collapsed="false">
      <c r="B50" s="13"/>
      <c r="C50" s="9"/>
      <c r="D50" s="9"/>
      <c r="E50" s="14"/>
      <c r="F50" s="9"/>
    </row>
    <row r="51" customFormat="false" ht="15" hidden="false" customHeight="false" outlineLevel="0" collapsed="false">
      <c r="B51" s="13"/>
      <c r="C51" s="9"/>
      <c r="D51" s="9"/>
      <c r="E51" s="14"/>
      <c r="F51" s="9"/>
    </row>
    <row r="52" customFormat="false" ht="15" hidden="false" customHeight="false" outlineLevel="0" collapsed="false">
      <c r="B52" s="13"/>
      <c r="C52" s="9"/>
      <c r="D52" s="9"/>
      <c r="E52" s="14"/>
      <c r="F52" s="9"/>
    </row>
    <row r="53" customFormat="false" ht="15" hidden="false" customHeight="false" outlineLevel="0" collapsed="false">
      <c r="B53" s="13"/>
      <c r="C53" s="9"/>
      <c r="D53" s="9"/>
      <c r="E53" s="14"/>
      <c r="F53" s="9"/>
    </row>
    <row r="54" customFormat="false" ht="15" hidden="false" customHeight="false" outlineLevel="0" collapsed="false">
      <c r="B54" s="13"/>
      <c r="C54" s="9"/>
      <c r="D54" s="9"/>
      <c r="E54" s="14"/>
      <c r="F54" s="9"/>
    </row>
    <row r="55" customFormat="false" ht="15" hidden="false" customHeight="false" outlineLevel="0" collapsed="false">
      <c r="B55" s="13"/>
      <c r="C55" s="9"/>
      <c r="D55" s="9"/>
      <c r="E55" s="14"/>
      <c r="F55" s="9"/>
    </row>
    <row r="56" customFormat="false" ht="15" hidden="false" customHeight="false" outlineLevel="0" collapsed="false">
      <c r="B56" s="13"/>
      <c r="C56" s="9"/>
      <c r="D56" s="9"/>
      <c r="E56" s="14"/>
      <c r="F56" s="9"/>
    </row>
    <row r="57" customFormat="false" ht="15" hidden="false" customHeight="false" outlineLevel="0" collapsed="false">
      <c r="B57" s="13"/>
      <c r="C57" s="9"/>
      <c r="D57" s="9"/>
      <c r="E57" s="14"/>
      <c r="F57" s="9"/>
    </row>
    <row r="58" customFormat="false" ht="15" hidden="false" customHeight="false" outlineLevel="0" collapsed="false">
      <c r="B58" s="13"/>
      <c r="C58" s="9"/>
      <c r="D58" s="9"/>
      <c r="E58" s="14"/>
      <c r="F58" s="9"/>
    </row>
    <row r="59" customFormat="false" ht="15" hidden="false" customHeight="false" outlineLevel="0" collapsed="false">
      <c r="B59" s="13"/>
      <c r="C59" s="9"/>
      <c r="D59" s="9"/>
      <c r="E59" s="14"/>
      <c r="F59" s="9"/>
    </row>
    <row r="60" customFormat="false" ht="15" hidden="false" customHeight="false" outlineLevel="0" collapsed="false">
      <c r="B60" s="13"/>
      <c r="C60" s="9"/>
      <c r="D60" s="9"/>
      <c r="E60" s="14"/>
      <c r="F60" s="9"/>
    </row>
    <row r="61" customFormat="false" ht="15" hidden="false" customHeight="false" outlineLevel="0" collapsed="false">
      <c r="B61" s="13"/>
      <c r="C61" s="9"/>
      <c r="D61" s="9"/>
      <c r="E61" s="14"/>
      <c r="F61" s="9"/>
    </row>
    <row r="62" customFormat="false" ht="15" hidden="false" customHeight="false" outlineLevel="0" collapsed="false">
      <c r="B62" s="13"/>
      <c r="C62" s="9"/>
      <c r="D62" s="9"/>
      <c r="E62" s="14"/>
      <c r="F62" s="9"/>
    </row>
    <row r="63" customFormat="false" ht="15" hidden="false" customHeight="false" outlineLevel="0" collapsed="false">
      <c r="B63" s="13"/>
      <c r="C63" s="9"/>
      <c r="D63" s="9"/>
      <c r="E63" s="14"/>
      <c r="F63" s="9"/>
    </row>
    <row r="64" customFormat="false" ht="15" hidden="false" customHeight="false" outlineLevel="0" collapsed="false">
      <c r="B64" s="13"/>
      <c r="C64" s="9"/>
      <c r="D64" s="9"/>
      <c r="E64" s="14"/>
      <c r="F64" s="9"/>
    </row>
    <row r="65" customFormat="false" ht="15" hidden="false" customHeight="false" outlineLevel="0" collapsed="false">
      <c r="B65" s="13"/>
      <c r="C65" s="9"/>
      <c r="D65" s="9"/>
      <c r="E65" s="14"/>
      <c r="F65" s="9"/>
    </row>
    <row r="66" customFormat="false" ht="15" hidden="false" customHeight="false" outlineLevel="0" collapsed="false">
      <c r="B66" s="13"/>
      <c r="C66" s="9"/>
      <c r="D66" s="9"/>
      <c r="E66" s="14"/>
      <c r="F66" s="9"/>
    </row>
    <row r="67" customFormat="false" ht="15" hidden="false" customHeight="false" outlineLevel="0" collapsed="false">
      <c r="B67" s="13"/>
      <c r="C67" s="9"/>
      <c r="D67" s="9"/>
      <c r="E67" s="14"/>
      <c r="F67" s="9"/>
    </row>
    <row r="68" customFormat="false" ht="15" hidden="false" customHeight="false" outlineLevel="0" collapsed="false">
      <c r="B68" s="13"/>
      <c r="C68" s="9"/>
      <c r="D68" s="9"/>
      <c r="E68" s="14"/>
      <c r="F68" s="9"/>
    </row>
    <row r="69" customFormat="false" ht="15" hidden="false" customHeight="false" outlineLevel="0" collapsed="false">
      <c r="B69" s="13"/>
      <c r="C69" s="9"/>
      <c r="D69" s="9"/>
      <c r="E69" s="14"/>
      <c r="F69" s="9"/>
    </row>
    <row r="70" customFormat="false" ht="15" hidden="false" customHeight="false" outlineLevel="0" collapsed="false">
      <c r="B70" s="13"/>
      <c r="C70" s="9"/>
      <c r="D70" s="9"/>
      <c r="E70" s="14"/>
      <c r="F70" s="9"/>
    </row>
    <row r="71" customFormat="false" ht="15" hidden="false" customHeight="false" outlineLevel="0" collapsed="false">
      <c r="B71" s="13"/>
      <c r="C71" s="9"/>
      <c r="D71" s="9"/>
      <c r="E71" s="14"/>
      <c r="F71" s="9"/>
    </row>
    <row r="72" customFormat="false" ht="15" hidden="false" customHeight="false" outlineLevel="0" collapsed="false">
      <c r="B72" s="13"/>
      <c r="C72" s="9"/>
      <c r="D72" s="9"/>
      <c r="E72" s="14"/>
      <c r="F72" s="9"/>
    </row>
    <row r="73" customFormat="false" ht="15" hidden="false" customHeight="false" outlineLevel="0" collapsed="false">
      <c r="B73" s="13"/>
      <c r="C73" s="9"/>
      <c r="D73" s="9"/>
      <c r="E73" s="14"/>
      <c r="F73" s="9"/>
    </row>
    <row r="74" customFormat="false" ht="15" hidden="false" customHeight="false" outlineLevel="0" collapsed="false">
      <c r="B74" s="13"/>
      <c r="C74" s="9"/>
      <c r="D74" s="9"/>
      <c r="E74" s="14"/>
      <c r="F74" s="9"/>
    </row>
    <row r="75" customFormat="false" ht="15" hidden="false" customHeight="false" outlineLevel="0" collapsed="false">
      <c r="B75" s="13"/>
      <c r="C75" s="9"/>
      <c r="D75" s="9"/>
      <c r="E75" s="14"/>
      <c r="F75" s="9"/>
    </row>
    <row r="76" customFormat="false" ht="15" hidden="false" customHeight="false" outlineLevel="0" collapsed="false">
      <c r="B76" s="13"/>
      <c r="C76" s="9"/>
      <c r="D76" s="9"/>
      <c r="E76" s="14"/>
      <c r="F76" s="9"/>
    </row>
    <row r="77" customFormat="false" ht="15" hidden="false" customHeight="false" outlineLevel="0" collapsed="false">
      <c r="B77" s="13"/>
      <c r="C77" s="9"/>
      <c r="D77" s="9"/>
      <c r="E77" s="14"/>
      <c r="F77" s="9"/>
    </row>
    <row r="78" customFormat="false" ht="15" hidden="false" customHeight="false" outlineLevel="0" collapsed="false">
      <c r="B78" s="13"/>
      <c r="C78" s="9"/>
      <c r="D78" s="9"/>
      <c r="E78" s="14"/>
      <c r="F78" s="9"/>
    </row>
    <row r="79" customFormat="false" ht="15" hidden="false" customHeight="false" outlineLevel="0" collapsed="false">
      <c r="B79" s="13"/>
      <c r="C79" s="9"/>
      <c r="D79" s="9"/>
      <c r="E79" s="14"/>
      <c r="F79" s="9"/>
    </row>
    <row r="80" customFormat="false" ht="15" hidden="false" customHeight="false" outlineLevel="0" collapsed="false">
      <c r="B80" s="13"/>
      <c r="C80" s="9"/>
      <c r="D80" s="9"/>
      <c r="E80" s="14"/>
      <c r="F80" s="9"/>
    </row>
    <row r="81" customFormat="false" ht="15" hidden="false" customHeight="false" outlineLevel="0" collapsed="false">
      <c r="B81" s="13"/>
      <c r="C81" s="9"/>
      <c r="D81" s="9"/>
      <c r="E81" s="14"/>
      <c r="F81" s="9"/>
    </row>
    <row r="82" customFormat="false" ht="15" hidden="false" customHeight="false" outlineLevel="0" collapsed="false">
      <c r="B82" s="13"/>
      <c r="C82" s="9"/>
      <c r="D82" s="9"/>
      <c r="E82" s="14"/>
      <c r="F82" s="9"/>
    </row>
    <row r="83" customFormat="false" ht="15" hidden="false" customHeight="false" outlineLevel="0" collapsed="false">
      <c r="B83" s="13"/>
      <c r="C83" s="9"/>
      <c r="D83" s="9"/>
      <c r="E83" s="14"/>
      <c r="F83" s="9"/>
    </row>
    <row r="84" customFormat="false" ht="15" hidden="false" customHeight="false" outlineLevel="0" collapsed="false">
      <c r="B84" s="13"/>
      <c r="C84" s="9"/>
      <c r="D84" s="9"/>
      <c r="E84" s="14"/>
      <c r="F84" s="9"/>
    </row>
    <row r="85" customFormat="false" ht="15" hidden="false" customHeight="false" outlineLevel="0" collapsed="false">
      <c r="B85" s="13"/>
      <c r="C85" s="9"/>
      <c r="D85" s="9"/>
      <c r="E85" s="14"/>
      <c r="F85" s="9"/>
    </row>
    <row r="86" customFormat="false" ht="15" hidden="false" customHeight="false" outlineLevel="0" collapsed="false">
      <c r="B86" s="13"/>
      <c r="C86" s="9"/>
      <c r="D86" s="9"/>
      <c r="E86" s="14"/>
      <c r="F86" s="9"/>
    </row>
    <row r="87" customFormat="false" ht="15" hidden="false" customHeight="false" outlineLevel="0" collapsed="false">
      <c r="B87" s="13"/>
      <c r="C87" s="9"/>
      <c r="D87" s="9"/>
      <c r="E87" s="14"/>
      <c r="F87" s="9"/>
    </row>
    <row r="88" customFormat="false" ht="15" hidden="false" customHeight="false" outlineLevel="0" collapsed="false">
      <c r="B88" s="13"/>
      <c r="C88" s="9"/>
      <c r="D88" s="9"/>
      <c r="E88" s="14"/>
      <c r="F88" s="9"/>
    </row>
    <row r="89" customFormat="false" ht="15" hidden="false" customHeight="false" outlineLevel="0" collapsed="false">
      <c r="B89" s="13"/>
      <c r="C89" s="9"/>
      <c r="D89" s="9"/>
      <c r="E89" s="14"/>
      <c r="F89" s="9"/>
    </row>
    <row r="90" customFormat="false" ht="15" hidden="false" customHeight="false" outlineLevel="0" collapsed="false">
      <c r="B90" s="13"/>
      <c r="C90" s="9"/>
      <c r="D90" s="9"/>
      <c r="E90" s="14"/>
      <c r="F90" s="9"/>
    </row>
    <row r="91" customFormat="false" ht="15" hidden="false" customHeight="false" outlineLevel="0" collapsed="false">
      <c r="B91" s="13"/>
      <c r="C91" s="9"/>
      <c r="D91" s="9"/>
      <c r="E91" s="14"/>
      <c r="F91" s="9"/>
    </row>
    <row r="92" customFormat="false" ht="15" hidden="false" customHeight="false" outlineLevel="0" collapsed="false">
      <c r="B92" s="13"/>
      <c r="C92" s="9"/>
      <c r="D92" s="9"/>
      <c r="E92" s="14"/>
      <c r="F92" s="9"/>
    </row>
    <row r="93" customFormat="false" ht="15" hidden="false" customHeight="false" outlineLevel="0" collapsed="false">
      <c r="B93" s="13"/>
      <c r="C93" s="9"/>
      <c r="D93" s="9"/>
      <c r="E93" s="14"/>
      <c r="F93" s="9"/>
    </row>
    <row r="94" customFormat="false" ht="15" hidden="false" customHeight="false" outlineLevel="0" collapsed="false">
      <c r="B94" s="13"/>
      <c r="C94" s="9"/>
      <c r="D94" s="9"/>
      <c r="E94" s="14"/>
      <c r="F94" s="9"/>
    </row>
    <row r="95" customFormat="false" ht="15" hidden="false" customHeight="false" outlineLevel="0" collapsed="false">
      <c r="B95" s="13"/>
      <c r="C95" s="9"/>
      <c r="D95" s="9"/>
      <c r="E95" s="14"/>
      <c r="F95" s="9"/>
    </row>
    <row r="96" customFormat="false" ht="15" hidden="false" customHeight="false" outlineLevel="0" collapsed="false">
      <c r="B96" s="13"/>
      <c r="C96" s="9"/>
      <c r="D96" s="9"/>
      <c r="E96" s="14"/>
      <c r="F96" s="9"/>
    </row>
    <row r="97" customFormat="false" ht="15" hidden="false" customHeight="false" outlineLevel="0" collapsed="false">
      <c r="B97" s="13"/>
      <c r="C97" s="9"/>
      <c r="D97" s="9"/>
      <c r="E97" s="14"/>
      <c r="F97" s="9"/>
    </row>
    <row r="98" customFormat="false" ht="15" hidden="false" customHeight="false" outlineLevel="0" collapsed="false">
      <c r="B98" s="13"/>
      <c r="C98" s="9"/>
      <c r="D98" s="9"/>
      <c r="E98" s="14"/>
      <c r="F98" s="9"/>
    </row>
    <row r="99" customFormat="false" ht="15" hidden="false" customHeight="false" outlineLevel="0" collapsed="false">
      <c r="B99" s="13"/>
      <c r="C99" s="9"/>
      <c r="D99" s="9"/>
      <c r="E99" s="14"/>
      <c r="F99" s="9"/>
    </row>
    <row r="100" customFormat="false" ht="15" hidden="false" customHeight="false" outlineLevel="0" collapsed="false">
      <c r="B100" s="13"/>
      <c r="C100" s="9"/>
      <c r="D100" s="9"/>
      <c r="E100" s="14"/>
      <c r="F100" s="9"/>
    </row>
    <row r="101" customFormat="false" ht="15" hidden="false" customHeight="false" outlineLevel="0" collapsed="false">
      <c r="B101" s="13"/>
      <c r="C101" s="9"/>
      <c r="D101" s="9"/>
      <c r="E101" s="14"/>
      <c r="F101" s="9"/>
    </row>
    <row r="102" customFormat="false" ht="15" hidden="false" customHeight="false" outlineLevel="0" collapsed="false">
      <c r="B102" s="13"/>
      <c r="C102" s="9"/>
      <c r="D102" s="9"/>
      <c r="E102" s="14"/>
      <c r="F102" s="9"/>
    </row>
    <row r="103" customFormat="false" ht="15" hidden="false" customHeight="false" outlineLevel="0" collapsed="false">
      <c r="B103" s="13"/>
      <c r="C103" s="9"/>
      <c r="D103" s="9"/>
      <c r="E103" s="14"/>
      <c r="F103" s="9"/>
    </row>
    <row r="104" customFormat="false" ht="15" hidden="false" customHeight="false" outlineLevel="0" collapsed="false">
      <c r="B104" s="13"/>
      <c r="C104" s="9"/>
      <c r="D104" s="9"/>
      <c r="E104" s="14"/>
      <c r="F104" s="9"/>
    </row>
    <row r="105" customFormat="false" ht="15" hidden="false" customHeight="false" outlineLevel="0" collapsed="false">
      <c r="B105" s="13"/>
      <c r="C105" s="9"/>
      <c r="D105" s="9"/>
      <c r="E105" s="14"/>
      <c r="F105" s="9"/>
    </row>
    <row r="106" customFormat="false" ht="15" hidden="false" customHeight="false" outlineLevel="0" collapsed="false">
      <c r="B106" s="13"/>
      <c r="C106" s="9"/>
      <c r="D106" s="9"/>
      <c r="E106" s="14"/>
      <c r="F106" s="9"/>
    </row>
    <row r="107" customFormat="false" ht="15" hidden="false" customHeight="false" outlineLevel="0" collapsed="false">
      <c r="B107" s="13"/>
      <c r="C107" s="9"/>
      <c r="D107" s="9"/>
      <c r="E107" s="14"/>
      <c r="F107" s="9"/>
    </row>
    <row r="108" customFormat="false" ht="15" hidden="false" customHeight="false" outlineLevel="0" collapsed="false">
      <c r="B108" s="13"/>
      <c r="C108" s="9"/>
      <c r="D108" s="9"/>
      <c r="E108" s="14"/>
      <c r="F108" s="9"/>
    </row>
    <row r="109" customFormat="false" ht="15" hidden="false" customHeight="false" outlineLevel="0" collapsed="false">
      <c r="B109" s="13"/>
      <c r="C109" s="9"/>
      <c r="D109" s="9"/>
      <c r="E109" s="14"/>
      <c r="F109" s="9"/>
    </row>
    <row r="110" customFormat="false" ht="15" hidden="false" customHeight="false" outlineLevel="0" collapsed="false">
      <c r="B110" s="13"/>
      <c r="C110" s="9"/>
      <c r="D110" s="9"/>
      <c r="E110" s="14"/>
      <c r="F110" s="9"/>
    </row>
    <row r="111" customFormat="false" ht="15" hidden="false" customHeight="false" outlineLevel="0" collapsed="false">
      <c r="B111" s="13"/>
      <c r="C111" s="9"/>
      <c r="D111" s="9"/>
      <c r="E111" s="14"/>
      <c r="F111" s="9"/>
    </row>
    <row r="112" customFormat="false" ht="15" hidden="false" customHeight="false" outlineLevel="0" collapsed="false">
      <c r="B112" s="13"/>
      <c r="C112" s="9"/>
      <c r="D112" s="9"/>
      <c r="E112" s="14"/>
      <c r="F112" s="9"/>
    </row>
    <row r="113" customFormat="false" ht="15" hidden="false" customHeight="false" outlineLevel="0" collapsed="false">
      <c r="B113" s="13"/>
      <c r="C113" s="9"/>
      <c r="D113" s="9"/>
      <c r="E113" s="14"/>
      <c r="F113" s="9"/>
    </row>
    <row r="114" customFormat="false" ht="15" hidden="false" customHeight="false" outlineLevel="0" collapsed="false">
      <c r="B114" s="13"/>
      <c r="C114" s="9"/>
      <c r="D114" s="9"/>
      <c r="E114" s="14"/>
      <c r="F114" s="9"/>
    </row>
    <row r="115" customFormat="false" ht="15" hidden="false" customHeight="false" outlineLevel="0" collapsed="false">
      <c r="B115" s="13"/>
      <c r="C115" s="9"/>
      <c r="D115" s="9"/>
      <c r="E115" s="14"/>
      <c r="F115" s="9"/>
    </row>
    <row r="116" customFormat="false" ht="15" hidden="false" customHeight="false" outlineLevel="0" collapsed="false">
      <c r="B116" s="13"/>
      <c r="C116" s="9"/>
      <c r="D116" s="9"/>
      <c r="E116" s="14"/>
      <c r="F116" s="9"/>
    </row>
    <row r="117" customFormat="false" ht="15" hidden="false" customHeight="false" outlineLevel="0" collapsed="false">
      <c r="B117" s="13"/>
      <c r="C117" s="9"/>
      <c r="D117" s="9"/>
      <c r="E117" s="14"/>
      <c r="F117" s="9"/>
    </row>
    <row r="118" customFormat="false" ht="15" hidden="false" customHeight="false" outlineLevel="0" collapsed="false">
      <c r="B118" s="13"/>
      <c r="C118" s="9"/>
      <c r="D118" s="9"/>
      <c r="E118" s="14"/>
      <c r="F118" s="9"/>
    </row>
    <row r="119" customFormat="false" ht="15" hidden="false" customHeight="false" outlineLevel="0" collapsed="false">
      <c r="B119" s="13"/>
      <c r="C119" s="9"/>
      <c r="D119" s="9"/>
      <c r="E119" s="14"/>
      <c r="F119" s="9"/>
    </row>
    <row r="120" customFormat="false" ht="15" hidden="false" customHeight="false" outlineLevel="0" collapsed="false">
      <c r="B120" s="13"/>
      <c r="C120" s="9"/>
      <c r="D120" s="9"/>
      <c r="E120" s="14"/>
      <c r="F120" s="9"/>
    </row>
    <row r="121" customFormat="false" ht="15" hidden="false" customHeight="false" outlineLevel="0" collapsed="false">
      <c r="B121" s="13"/>
      <c r="C121" s="9"/>
      <c r="D121" s="9"/>
      <c r="E121" s="14"/>
      <c r="F121" s="9"/>
    </row>
    <row r="122" customFormat="false" ht="15" hidden="false" customHeight="false" outlineLevel="0" collapsed="false">
      <c r="B122" s="13"/>
      <c r="C122" s="9"/>
      <c r="D122" s="9"/>
      <c r="E122" s="14"/>
      <c r="F122" s="9"/>
    </row>
    <row r="123" customFormat="false" ht="15" hidden="false" customHeight="false" outlineLevel="0" collapsed="false">
      <c r="B123" s="13"/>
      <c r="C123" s="9"/>
      <c r="D123" s="9"/>
      <c r="E123" s="14"/>
      <c r="F123" s="9"/>
    </row>
    <row r="124" customFormat="false" ht="15" hidden="false" customHeight="false" outlineLevel="0" collapsed="false">
      <c r="B124" s="13"/>
      <c r="C124" s="9"/>
      <c r="D124" s="9"/>
      <c r="E124" s="14"/>
      <c r="F124" s="9"/>
    </row>
    <row r="125" customFormat="false" ht="15" hidden="false" customHeight="false" outlineLevel="0" collapsed="false">
      <c r="B125" s="13"/>
      <c r="C125" s="9"/>
      <c r="D125" s="9"/>
      <c r="E125" s="14"/>
      <c r="F125" s="9"/>
    </row>
    <row r="126" customFormat="false" ht="15" hidden="false" customHeight="false" outlineLevel="0" collapsed="false">
      <c r="B126" s="13"/>
      <c r="C126" s="9"/>
      <c r="D126" s="9"/>
      <c r="E126" s="14"/>
      <c r="F126" s="9"/>
    </row>
    <row r="127" customFormat="false" ht="15" hidden="false" customHeight="false" outlineLevel="0" collapsed="false">
      <c r="B127" s="13"/>
      <c r="C127" s="9"/>
      <c r="D127" s="9"/>
      <c r="E127" s="14"/>
      <c r="F127" s="9"/>
    </row>
    <row r="128" customFormat="false" ht="15" hidden="false" customHeight="false" outlineLevel="0" collapsed="false">
      <c r="B128" s="13"/>
      <c r="C128" s="9"/>
      <c r="D128" s="9"/>
      <c r="E128" s="14"/>
      <c r="F128" s="9"/>
    </row>
    <row r="129" customFormat="false" ht="15" hidden="false" customHeight="false" outlineLevel="0" collapsed="false">
      <c r="B129" s="13"/>
      <c r="C129" s="9"/>
      <c r="D129" s="9"/>
      <c r="E129" s="14"/>
      <c r="F129" s="9"/>
    </row>
    <row r="130" customFormat="false" ht="15" hidden="false" customHeight="false" outlineLevel="0" collapsed="false">
      <c r="B130" s="13"/>
      <c r="C130" s="9"/>
      <c r="D130" s="9"/>
      <c r="E130" s="14"/>
      <c r="F130" s="9"/>
    </row>
    <row r="131" customFormat="false" ht="15" hidden="false" customHeight="false" outlineLevel="0" collapsed="false">
      <c r="B131" s="13"/>
      <c r="C131" s="9"/>
      <c r="D131" s="9"/>
      <c r="E131" s="14"/>
      <c r="F131" s="9"/>
    </row>
    <row r="132" customFormat="false" ht="15" hidden="false" customHeight="false" outlineLevel="0" collapsed="false">
      <c r="B132" s="13"/>
      <c r="C132" s="9"/>
      <c r="D132" s="9"/>
      <c r="E132" s="14"/>
      <c r="F132" s="9"/>
    </row>
    <row r="133" customFormat="false" ht="15" hidden="false" customHeight="false" outlineLevel="0" collapsed="false">
      <c r="B133" s="13"/>
      <c r="C133" s="9"/>
      <c r="D133" s="9"/>
      <c r="E133" s="14"/>
      <c r="F133" s="9"/>
    </row>
    <row r="134" customFormat="false" ht="15" hidden="false" customHeight="false" outlineLevel="0" collapsed="false">
      <c r="B134" s="13"/>
      <c r="C134" s="9"/>
      <c r="D134" s="9"/>
      <c r="E134" s="14"/>
      <c r="F134" s="9"/>
    </row>
    <row r="135" customFormat="false" ht="15" hidden="false" customHeight="false" outlineLevel="0" collapsed="false">
      <c r="B135" s="13"/>
      <c r="C135" s="9"/>
      <c r="D135" s="9"/>
      <c r="E135" s="14"/>
      <c r="F135" s="9"/>
    </row>
    <row r="136" customFormat="false" ht="15" hidden="false" customHeight="false" outlineLevel="0" collapsed="false">
      <c r="B136" s="13"/>
      <c r="C136" s="9"/>
      <c r="D136" s="9"/>
      <c r="E136" s="14"/>
      <c r="F136" s="9"/>
    </row>
    <row r="137" customFormat="false" ht="15" hidden="false" customHeight="false" outlineLevel="0" collapsed="false">
      <c r="B137" s="13"/>
      <c r="C137" s="9"/>
      <c r="D137" s="9"/>
      <c r="E137" s="14"/>
      <c r="F137" s="9"/>
    </row>
    <row r="138" customFormat="false" ht="15" hidden="false" customHeight="false" outlineLevel="0" collapsed="false">
      <c r="B138" s="13"/>
      <c r="C138" s="9"/>
      <c r="D138" s="9"/>
      <c r="E138" s="14"/>
      <c r="F138" s="9"/>
    </row>
    <row r="139" customFormat="false" ht="15" hidden="false" customHeight="false" outlineLevel="0" collapsed="false">
      <c r="B139" s="13"/>
      <c r="C139" s="9"/>
      <c r="D139" s="9"/>
      <c r="E139" s="14"/>
      <c r="F139" s="9"/>
    </row>
    <row r="140" customFormat="false" ht="15" hidden="false" customHeight="false" outlineLevel="0" collapsed="false">
      <c r="B140" s="13"/>
      <c r="C140" s="9"/>
      <c r="D140" s="9"/>
      <c r="E140" s="14"/>
      <c r="F140" s="9"/>
    </row>
    <row r="141" customFormat="false" ht="15" hidden="false" customHeight="false" outlineLevel="0" collapsed="false">
      <c r="B141" s="13"/>
      <c r="C141" s="9"/>
      <c r="D141" s="9"/>
      <c r="E141" s="14"/>
      <c r="F141" s="9"/>
    </row>
    <row r="142" customFormat="false" ht="15" hidden="false" customHeight="false" outlineLevel="0" collapsed="false">
      <c r="B142" s="13"/>
      <c r="C142" s="9"/>
      <c r="D142" s="9"/>
      <c r="E142" s="14"/>
      <c r="F142" s="9"/>
    </row>
    <row r="143" customFormat="false" ht="15" hidden="false" customHeight="false" outlineLevel="0" collapsed="false">
      <c r="B143" s="13"/>
      <c r="C143" s="9"/>
      <c r="D143" s="9"/>
      <c r="E143" s="14"/>
      <c r="F143" s="9"/>
    </row>
    <row r="144" customFormat="false" ht="15" hidden="false" customHeight="false" outlineLevel="0" collapsed="false">
      <c r="B144" s="13"/>
      <c r="C144" s="9"/>
      <c r="D144" s="9"/>
      <c r="E144" s="14"/>
      <c r="F144" s="9"/>
    </row>
    <row r="145" customFormat="false" ht="15" hidden="false" customHeight="false" outlineLevel="0" collapsed="false">
      <c r="B145" s="13"/>
      <c r="C145" s="9"/>
      <c r="D145" s="9"/>
      <c r="E145" s="14"/>
      <c r="F145" s="9"/>
    </row>
    <row r="146" customFormat="false" ht="15" hidden="false" customHeight="false" outlineLevel="0" collapsed="false">
      <c r="B146" s="13"/>
      <c r="C146" s="9"/>
      <c r="D146" s="9"/>
      <c r="E146" s="14"/>
      <c r="F146" s="9"/>
    </row>
    <row r="147" customFormat="false" ht="15" hidden="false" customHeight="false" outlineLevel="0" collapsed="false">
      <c r="B147" s="13"/>
      <c r="C147" s="9"/>
      <c r="D147" s="9"/>
      <c r="E147" s="14"/>
      <c r="F147" s="9"/>
    </row>
    <row r="148" customFormat="false" ht="15" hidden="false" customHeight="false" outlineLevel="0" collapsed="false">
      <c r="B148" s="13"/>
      <c r="C148" s="9"/>
      <c r="D148" s="9"/>
      <c r="E148" s="14"/>
      <c r="F148" s="9"/>
    </row>
    <row r="149" customFormat="false" ht="15" hidden="false" customHeight="false" outlineLevel="0" collapsed="false">
      <c r="B149" s="13"/>
      <c r="C149" s="9"/>
      <c r="D149" s="9"/>
      <c r="E149" s="14"/>
      <c r="F149" s="9"/>
    </row>
    <row r="150" customFormat="false" ht="15" hidden="false" customHeight="false" outlineLevel="0" collapsed="false">
      <c r="B150" s="13"/>
      <c r="C150" s="9"/>
      <c r="D150" s="9"/>
      <c r="E150" s="14"/>
      <c r="F150" s="9"/>
    </row>
    <row r="151" customFormat="false" ht="15" hidden="false" customHeight="false" outlineLevel="0" collapsed="false">
      <c r="B151" s="13"/>
      <c r="C151" s="9"/>
      <c r="D151" s="9"/>
      <c r="E151" s="14"/>
      <c r="F151" s="9"/>
    </row>
    <row r="152" customFormat="false" ht="15" hidden="false" customHeight="false" outlineLevel="0" collapsed="false">
      <c r="B152" s="13"/>
      <c r="C152" s="9"/>
      <c r="D152" s="9"/>
      <c r="E152" s="14"/>
      <c r="F152" s="9"/>
    </row>
    <row r="153" customFormat="false" ht="15" hidden="false" customHeight="false" outlineLevel="0" collapsed="false">
      <c r="B153" s="13"/>
      <c r="C153" s="9"/>
      <c r="D153" s="9"/>
      <c r="E153" s="14"/>
      <c r="F153" s="9"/>
    </row>
    <row r="154" customFormat="false" ht="15" hidden="false" customHeight="false" outlineLevel="0" collapsed="false">
      <c r="B154" s="13"/>
      <c r="C154" s="9"/>
      <c r="D154" s="9"/>
      <c r="E154" s="14"/>
      <c r="F154" s="9"/>
    </row>
    <row r="155" customFormat="false" ht="15" hidden="false" customHeight="false" outlineLevel="0" collapsed="false">
      <c r="B155" s="13"/>
      <c r="C155" s="9"/>
      <c r="D155" s="9"/>
      <c r="E155" s="14"/>
      <c r="F155" s="9"/>
    </row>
    <row r="156" customFormat="false" ht="15" hidden="false" customHeight="false" outlineLevel="0" collapsed="false">
      <c r="B156" s="13"/>
      <c r="C156" s="9"/>
      <c r="D156" s="9"/>
      <c r="E156" s="14"/>
      <c r="F156" s="9"/>
    </row>
    <row r="157" customFormat="false" ht="15" hidden="false" customHeight="false" outlineLevel="0" collapsed="false">
      <c r="B157" s="13"/>
      <c r="C157" s="9"/>
      <c r="D157" s="9"/>
      <c r="E157" s="14"/>
      <c r="F157" s="9"/>
    </row>
    <row r="158" customFormat="false" ht="15" hidden="false" customHeight="false" outlineLevel="0" collapsed="false">
      <c r="B158" s="13"/>
      <c r="C158" s="9"/>
      <c r="D158" s="9"/>
      <c r="E158" s="14"/>
      <c r="F158" s="9"/>
    </row>
    <row r="159" customFormat="false" ht="15" hidden="false" customHeight="false" outlineLevel="0" collapsed="false">
      <c r="B159" s="13"/>
      <c r="C159" s="9"/>
      <c r="D159" s="9"/>
      <c r="E159" s="14"/>
      <c r="F159" s="9"/>
    </row>
    <row r="160" customFormat="false" ht="15" hidden="false" customHeight="false" outlineLevel="0" collapsed="false">
      <c r="B160" s="13"/>
      <c r="C160" s="9"/>
      <c r="D160" s="9"/>
      <c r="E160" s="14"/>
      <c r="F160" s="9"/>
    </row>
    <row r="161" customFormat="false" ht="15" hidden="false" customHeight="false" outlineLevel="0" collapsed="false">
      <c r="B161" s="13"/>
      <c r="C161" s="9"/>
      <c r="D161" s="9"/>
      <c r="E161" s="14"/>
      <c r="F161" s="9"/>
    </row>
    <row r="162" customFormat="false" ht="15" hidden="false" customHeight="false" outlineLevel="0" collapsed="false">
      <c r="B162" s="13"/>
      <c r="C162" s="9"/>
      <c r="D162" s="9"/>
      <c r="E162" s="14"/>
      <c r="F162" s="9"/>
    </row>
    <row r="163" customFormat="false" ht="15" hidden="false" customHeight="false" outlineLevel="0" collapsed="false">
      <c r="B163" s="13"/>
      <c r="C163" s="9"/>
      <c r="D163" s="9"/>
      <c r="E163" s="14"/>
      <c r="F163" s="9"/>
    </row>
    <row r="164" customFormat="false" ht="15" hidden="false" customHeight="false" outlineLevel="0" collapsed="false">
      <c r="B164" s="13"/>
      <c r="C164" s="9"/>
      <c r="D164" s="9"/>
      <c r="E164" s="14"/>
      <c r="F164" s="9"/>
    </row>
    <row r="165" customFormat="false" ht="15" hidden="false" customHeight="false" outlineLevel="0" collapsed="false">
      <c r="B165" s="13"/>
      <c r="C165" s="9"/>
      <c r="D165" s="9"/>
      <c r="E165" s="14"/>
      <c r="F165" s="9"/>
    </row>
    <row r="166" customFormat="false" ht="15" hidden="false" customHeight="false" outlineLevel="0" collapsed="false">
      <c r="B166" s="13"/>
      <c r="C166" s="9"/>
      <c r="D166" s="9"/>
      <c r="E166" s="14"/>
      <c r="F166" s="9"/>
    </row>
    <row r="167" customFormat="false" ht="15" hidden="false" customHeight="false" outlineLevel="0" collapsed="false">
      <c r="B167" s="13"/>
      <c r="C167" s="9"/>
      <c r="D167" s="9"/>
      <c r="E167" s="14"/>
      <c r="F167" s="9"/>
    </row>
    <row r="168" customFormat="false" ht="15" hidden="false" customHeight="false" outlineLevel="0" collapsed="false">
      <c r="B168" s="13"/>
      <c r="C168" s="9"/>
      <c r="D168" s="9"/>
      <c r="E168" s="14"/>
      <c r="F168" s="9"/>
    </row>
    <row r="169" customFormat="false" ht="15" hidden="false" customHeight="false" outlineLevel="0" collapsed="false">
      <c r="B169" s="13"/>
      <c r="C169" s="9"/>
      <c r="D169" s="9"/>
      <c r="E169" s="14"/>
      <c r="F169" s="9"/>
    </row>
    <row r="170" customFormat="false" ht="15" hidden="false" customHeight="false" outlineLevel="0" collapsed="false">
      <c r="B170" s="13"/>
      <c r="C170" s="9"/>
      <c r="D170" s="9"/>
      <c r="E170" s="14"/>
      <c r="F170" s="9"/>
    </row>
    <row r="171" customFormat="false" ht="15" hidden="false" customHeight="false" outlineLevel="0" collapsed="false">
      <c r="B171" s="13"/>
      <c r="C171" s="9"/>
      <c r="D171" s="9"/>
      <c r="E171" s="14"/>
      <c r="F171" s="9"/>
    </row>
    <row r="172" customFormat="false" ht="15" hidden="false" customHeight="false" outlineLevel="0" collapsed="false">
      <c r="B172" s="13"/>
      <c r="C172" s="9"/>
      <c r="D172" s="9"/>
      <c r="E172" s="14"/>
      <c r="F172" s="9"/>
    </row>
    <row r="173" customFormat="false" ht="15" hidden="false" customHeight="false" outlineLevel="0" collapsed="false">
      <c r="B173" s="13"/>
      <c r="C173" s="9"/>
      <c r="D173" s="9"/>
      <c r="E173" s="14"/>
      <c r="F173" s="9"/>
    </row>
    <row r="174" customFormat="false" ht="15" hidden="false" customHeight="false" outlineLevel="0" collapsed="false">
      <c r="B174" s="13"/>
      <c r="C174" s="9"/>
      <c r="D174" s="9"/>
      <c r="E174" s="14"/>
      <c r="F174" s="9"/>
    </row>
    <row r="175" customFormat="false" ht="15" hidden="false" customHeight="false" outlineLevel="0" collapsed="false">
      <c r="B175" s="13"/>
      <c r="C175" s="9"/>
      <c r="D175" s="9"/>
      <c r="E175" s="14"/>
      <c r="F175" s="9"/>
    </row>
    <row r="176" customFormat="false" ht="15" hidden="false" customHeight="false" outlineLevel="0" collapsed="false">
      <c r="B176" s="13"/>
      <c r="C176" s="9"/>
      <c r="D176" s="9"/>
      <c r="E176" s="14"/>
      <c r="F176" s="9"/>
    </row>
    <row r="177" customFormat="false" ht="15" hidden="false" customHeight="false" outlineLevel="0" collapsed="false">
      <c r="B177" s="13"/>
      <c r="C177" s="9"/>
      <c r="D177" s="9"/>
      <c r="E177" s="14"/>
      <c r="F177" s="9"/>
    </row>
    <row r="178" customFormat="false" ht="15" hidden="false" customHeight="false" outlineLevel="0" collapsed="false">
      <c r="B178" s="13"/>
      <c r="C178" s="9"/>
      <c r="D178" s="9"/>
      <c r="E178" s="14"/>
      <c r="F178" s="9"/>
    </row>
    <row r="179" customFormat="false" ht="15" hidden="false" customHeight="false" outlineLevel="0" collapsed="false">
      <c r="B179" s="13"/>
      <c r="C179" s="9"/>
      <c r="D179" s="9"/>
      <c r="E179" s="14"/>
      <c r="F179" s="9"/>
    </row>
    <row r="180" customFormat="false" ht="15" hidden="false" customHeight="false" outlineLevel="0" collapsed="false">
      <c r="B180" s="13"/>
      <c r="C180" s="9"/>
      <c r="D180" s="9"/>
      <c r="E180" s="14"/>
      <c r="F180" s="9"/>
    </row>
    <row r="181" customFormat="false" ht="15" hidden="false" customHeight="false" outlineLevel="0" collapsed="false">
      <c r="B181" s="13"/>
      <c r="C181" s="9"/>
      <c r="D181" s="9"/>
      <c r="E181" s="14"/>
      <c r="F181" s="9"/>
    </row>
    <row r="182" customFormat="false" ht="15" hidden="false" customHeight="false" outlineLevel="0" collapsed="false">
      <c r="B182" s="13"/>
      <c r="C182" s="9"/>
      <c r="D182" s="9"/>
      <c r="E182" s="14"/>
      <c r="F182" s="9"/>
    </row>
    <row r="183" customFormat="false" ht="15" hidden="false" customHeight="false" outlineLevel="0" collapsed="false">
      <c r="B183" s="13"/>
      <c r="C183" s="9"/>
      <c r="D183" s="9"/>
      <c r="E183" s="14"/>
      <c r="F183" s="9"/>
    </row>
    <row r="184" customFormat="false" ht="15" hidden="false" customHeight="false" outlineLevel="0" collapsed="false">
      <c r="B184" s="13"/>
      <c r="C184" s="9"/>
      <c r="D184" s="9"/>
      <c r="E184" s="14"/>
      <c r="F184" s="9"/>
    </row>
    <row r="185" customFormat="false" ht="15" hidden="false" customHeight="false" outlineLevel="0" collapsed="false">
      <c r="B185" s="13"/>
      <c r="C185" s="9"/>
      <c r="D185" s="9"/>
      <c r="E185" s="14"/>
      <c r="F185" s="9"/>
    </row>
    <row r="186" customFormat="false" ht="15" hidden="false" customHeight="false" outlineLevel="0" collapsed="false">
      <c r="B186" s="13"/>
      <c r="C186" s="9"/>
      <c r="D186" s="9"/>
      <c r="E186" s="14"/>
      <c r="F186" s="9"/>
    </row>
    <row r="187" customFormat="false" ht="15" hidden="false" customHeight="false" outlineLevel="0" collapsed="false">
      <c r="B187" s="13"/>
      <c r="C187" s="9"/>
      <c r="D187" s="9"/>
      <c r="E187" s="14"/>
      <c r="F187" s="9"/>
    </row>
    <row r="188" customFormat="false" ht="15" hidden="false" customHeight="false" outlineLevel="0" collapsed="false">
      <c r="B188" s="13"/>
      <c r="C188" s="9"/>
      <c r="D188" s="9"/>
      <c r="E188" s="14"/>
      <c r="F188" s="9"/>
    </row>
    <row r="189" customFormat="false" ht="15" hidden="false" customHeight="false" outlineLevel="0" collapsed="false">
      <c r="B189" s="13"/>
      <c r="C189" s="9"/>
      <c r="D189" s="9"/>
      <c r="E189" s="14"/>
      <c r="F189" s="9"/>
    </row>
    <row r="190" customFormat="false" ht="15" hidden="false" customHeight="false" outlineLevel="0" collapsed="false">
      <c r="B190" s="13"/>
      <c r="C190" s="9"/>
      <c r="D190" s="9"/>
      <c r="E190" s="14"/>
      <c r="F190" s="9"/>
    </row>
    <row r="191" customFormat="false" ht="15" hidden="false" customHeight="false" outlineLevel="0" collapsed="false">
      <c r="B191" s="13"/>
      <c r="C191" s="9"/>
      <c r="D191" s="9"/>
      <c r="E191" s="14"/>
      <c r="F191" s="9"/>
    </row>
    <row r="192" customFormat="false" ht="15" hidden="false" customHeight="false" outlineLevel="0" collapsed="false">
      <c r="B192" s="13"/>
      <c r="C192" s="9"/>
      <c r="D192" s="9"/>
      <c r="E192" s="14"/>
      <c r="F192" s="9"/>
    </row>
    <row r="193" customFormat="false" ht="15" hidden="false" customHeight="false" outlineLevel="0" collapsed="false">
      <c r="B193" s="13"/>
      <c r="C193" s="9"/>
      <c r="D193" s="9"/>
      <c r="E193" s="14"/>
      <c r="F193" s="9"/>
    </row>
    <row r="194" customFormat="false" ht="15" hidden="false" customHeight="false" outlineLevel="0" collapsed="false">
      <c r="B194" s="13"/>
      <c r="C194" s="9"/>
      <c r="D194" s="9"/>
      <c r="E194" s="14"/>
      <c r="F194" s="9"/>
    </row>
    <row r="195" customFormat="false" ht="15" hidden="false" customHeight="false" outlineLevel="0" collapsed="false">
      <c r="B195" s="13"/>
      <c r="C195" s="9"/>
      <c r="D195" s="9"/>
      <c r="E195" s="14"/>
      <c r="F195" s="9"/>
    </row>
    <row r="196" customFormat="false" ht="15" hidden="false" customHeight="false" outlineLevel="0" collapsed="false">
      <c r="B196" s="13"/>
      <c r="C196" s="9"/>
      <c r="D196" s="9"/>
      <c r="E196" s="14"/>
      <c r="F196" s="9"/>
    </row>
    <row r="197" customFormat="false" ht="15" hidden="false" customHeight="false" outlineLevel="0" collapsed="false">
      <c r="B197" s="13"/>
      <c r="C197" s="9"/>
      <c r="D197" s="9"/>
      <c r="E197" s="14"/>
      <c r="F197" s="9"/>
    </row>
    <row r="198" customFormat="false" ht="15" hidden="false" customHeight="false" outlineLevel="0" collapsed="false">
      <c r="B198" s="13"/>
      <c r="C198" s="9"/>
      <c r="D198" s="9"/>
      <c r="E198" s="14"/>
      <c r="F198" s="9"/>
    </row>
    <row r="199" customFormat="false" ht="15" hidden="false" customHeight="false" outlineLevel="0" collapsed="false">
      <c r="B199" s="13"/>
      <c r="C199" s="9"/>
      <c r="D199" s="9"/>
      <c r="E199" s="14"/>
      <c r="F199" s="9"/>
    </row>
    <row r="200" customFormat="false" ht="15" hidden="false" customHeight="false" outlineLevel="0" collapsed="false">
      <c r="B200" s="13"/>
      <c r="C200" s="9"/>
      <c r="D200" s="9"/>
      <c r="E200" s="14"/>
      <c r="F200" s="9"/>
    </row>
    <row r="201" customFormat="false" ht="15" hidden="false" customHeight="false" outlineLevel="0" collapsed="false">
      <c r="B201" s="13"/>
      <c r="C201" s="9"/>
      <c r="D201" s="9"/>
      <c r="E201" s="14"/>
      <c r="F201" s="9"/>
    </row>
    <row r="202" customFormat="false" ht="15" hidden="false" customHeight="false" outlineLevel="0" collapsed="false">
      <c r="B202" s="13"/>
      <c r="C202" s="9"/>
      <c r="D202" s="9"/>
      <c r="E202" s="14"/>
      <c r="F202" s="9"/>
    </row>
    <row r="203" customFormat="false" ht="15" hidden="false" customHeight="false" outlineLevel="0" collapsed="false">
      <c r="B203" s="13"/>
      <c r="C203" s="9"/>
      <c r="D203" s="9"/>
      <c r="E203" s="14"/>
      <c r="F203" s="9"/>
    </row>
    <row r="204" customFormat="false" ht="15" hidden="false" customHeight="false" outlineLevel="0" collapsed="false">
      <c r="B204" s="13"/>
      <c r="C204" s="9"/>
      <c r="D204" s="9"/>
      <c r="E204" s="14"/>
      <c r="F204" s="9"/>
    </row>
    <row r="205" customFormat="false" ht="15" hidden="false" customHeight="false" outlineLevel="0" collapsed="false">
      <c r="B205" s="13"/>
      <c r="C205" s="9"/>
      <c r="D205" s="9"/>
      <c r="E205" s="14"/>
      <c r="F205" s="9"/>
    </row>
  </sheetData>
  <dataValidations count="1">
    <dataValidation allowBlank="true" errorStyle="stop" operator="between" showDropDown="false" showErrorMessage="false" showInputMessage="false" sqref="D6:D205" type="list">
      <formula1>"Flights,Accommodation,Transport,Food &amp; drink,Activities,Shopping,Insurance,Other"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9B5A"/>
    <pageSetUpPr fitToPage="false"/>
  </sheetPr>
  <dimension ref="A1:E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6" hidden="false" customHeight="true" outlineLevel="0" collapsed="false">
      <c r="A1" s="1"/>
      <c r="B1" s="2"/>
      <c r="C1" s="3"/>
      <c r="D1" s="11"/>
      <c r="E1" s="1"/>
    </row>
    <row r="2" customFormat="false" ht="31.5" hidden="false" customHeight="true" outlineLevel="0" collapsed="false">
      <c r="A2" s="4"/>
      <c r="B2" s="5" t="s">
        <v>89</v>
      </c>
      <c r="C2" s="4"/>
      <c r="D2" s="4"/>
      <c r="E2" s="4"/>
    </row>
    <row r="3" customFormat="false" ht="15" hidden="false" customHeight="false" outlineLevel="0" collapsed="false">
      <c r="A3" s="4"/>
      <c r="B3" s="6" t="s">
        <v>90</v>
      </c>
      <c r="C3" s="4"/>
      <c r="D3" s="4"/>
      <c r="E3" s="4"/>
    </row>
    <row r="5" customFormat="false" ht="17.35" hidden="false" customHeight="false" outlineLevel="0" collapsed="false">
      <c r="B5" s="12" t="s">
        <v>91</v>
      </c>
      <c r="C5" s="16" t="str">
        <f aca="false">COUNTIF(D8:D157,"✓")&amp;" of "&amp;COUNTA(B8:B157)&amp;" items"</f>
        <v>4 of 19 items</v>
      </c>
      <c r="E5" s="29" t="n">
        <f aca="false">IF(COUNTA(B8:B157)=0,0,COUNTIF(D8:D157,"✓")/COUNTA(B8:B157))</f>
        <v>0.210526315789474</v>
      </c>
    </row>
    <row r="7" customFormat="false" ht="21.75" hidden="false" customHeight="true" outlineLevel="0" collapsed="false">
      <c r="B7" s="30" t="s">
        <v>83</v>
      </c>
      <c r="C7" s="30" t="s">
        <v>65</v>
      </c>
      <c r="D7" s="30" t="s">
        <v>91</v>
      </c>
    </row>
    <row r="8" customFormat="false" ht="15" hidden="false" customHeight="false" outlineLevel="0" collapsed="false">
      <c r="B8" s="9" t="s">
        <v>92</v>
      </c>
      <c r="C8" s="9" t="s">
        <v>93</v>
      </c>
      <c r="D8" s="24" t="s">
        <v>94</v>
      </c>
    </row>
    <row r="9" customFormat="false" ht="15" hidden="false" customHeight="false" outlineLevel="0" collapsed="false">
      <c r="B9" s="9" t="s">
        <v>95</v>
      </c>
      <c r="C9" s="9" t="s">
        <v>93</v>
      </c>
      <c r="D9" s="24" t="s">
        <v>94</v>
      </c>
    </row>
    <row r="10" customFormat="false" ht="15" hidden="false" customHeight="false" outlineLevel="0" collapsed="false">
      <c r="B10" s="9" t="s">
        <v>96</v>
      </c>
      <c r="C10" s="9" t="s">
        <v>93</v>
      </c>
      <c r="D10" s="24" t="s">
        <v>94</v>
      </c>
    </row>
    <row r="11" customFormat="false" ht="15" hidden="false" customHeight="false" outlineLevel="0" collapsed="false">
      <c r="B11" s="9" t="s">
        <v>97</v>
      </c>
      <c r="C11" s="9" t="s">
        <v>93</v>
      </c>
      <c r="D11" s="24" t="s">
        <v>94</v>
      </c>
    </row>
    <row r="12" customFormat="false" ht="15" hidden="false" customHeight="false" outlineLevel="0" collapsed="false">
      <c r="B12" s="9" t="s">
        <v>98</v>
      </c>
      <c r="C12" s="9" t="s">
        <v>99</v>
      </c>
      <c r="D12" s="24"/>
    </row>
    <row r="13" customFormat="false" ht="15" hidden="false" customHeight="false" outlineLevel="0" collapsed="false">
      <c r="B13" s="9" t="s">
        <v>100</v>
      </c>
      <c r="C13" s="9" t="s">
        <v>99</v>
      </c>
      <c r="D13" s="24"/>
    </row>
    <row r="14" customFormat="false" ht="15" hidden="false" customHeight="false" outlineLevel="0" collapsed="false">
      <c r="B14" s="9" t="s">
        <v>101</v>
      </c>
      <c r="C14" s="9" t="s">
        <v>99</v>
      </c>
      <c r="D14" s="24"/>
    </row>
    <row r="15" customFormat="false" ht="15" hidden="false" customHeight="false" outlineLevel="0" collapsed="false">
      <c r="B15" s="9" t="s">
        <v>102</v>
      </c>
      <c r="C15" s="9" t="s">
        <v>99</v>
      </c>
      <c r="D15" s="24"/>
    </row>
    <row r="16" customFormat="false" ht="15" hidden="false" customHeight="false" outlineLevel="0" collapsed="false">
      <c r="B16" s="9" t="s">
        <v>103</v>
      </c>
      <c r="C16" s="9" t="s">
        <v>104</v>
      </c>
      <c r="D16" s="24"/>
    </row>
    <row r="17" customFormat="false" ht="15" hidden="false" customHeight="false" outlineLevel="0" collapsed="false">
      <c r="B17" s="9" t="s">
        <v>105</v>
      </c>
      <c r="C17" s="9" t="s">
        <v>104</v>
      </c>
      <c r="D17" s="24"/>
    </row>
    <row r="18" customFormat="false" ht="15" hidden="false" customHeight="false" outlineLevel="0" collapsed="false">
      <c r="B18" s="9" t="s">
        <v>106</v>
      </c>
      <c r="C18" s="9" t="s">
        <v>104</v>
      </c>
      <c r="D18" s="24"/>
    </row>
    <row r="19" customFormat="false" ht="15" hidden="false" customHeight="false" outlineLevel="0" collapsed="false">
      <c r="B19" s="9" t="s">
        <v>107</v>
      </c>
      <c r="C19" s="9" t="s">
        <v>108</v>
      </c>
      <c r="D19" s="24"/>
    </row>
    <row r="20" customFormat="false" ht="15" hidden="false" customHeight="false" outlineLevel="0" collapsed="false">
      <c r="B20" s="9" t="s">
        <v>109</v>
      </c>
      <c r="C20" s="9" t="s">
        <v>108</v>
      </c>
      <c r="D20" s="24"/>
    </row>
    <row r="21" customFormat="false" ht="15" hidden="false" customHeight="false" outlineLevel="0" collapsed="false">
      <c r="B21" s="9" t="s">
        <v>110</v>
      </c>
      <c r="C21" s="9" t="s">
        <v>108</v>
      </c>
      <c r="D21" s="24"/>
    </row>
    <row r="22" customFormat="false" ht="15" hidden="false" customHeight="false" outlineLevel="0" collapsed="false">
      <c r="B22" s="9" t="s">
        <v>111</v>
      </c>
      <c r="C22" s="9" t="s">
        <v>108</v>
      </c>
      <c r="D22" s="24"/>
    </row>
    <row r="23" customFormat="false" ht="15" hidden="false" customHeight="false" outlineLevel="0" collapsed="false">
      <c r="B23" s="9" t="s">
        <v>112</v>
      </c>
      <c r="C23" s="9" t="s">
        <v>108</v>
      </c>
      <c r="D23" s="24"/>
    </row>
    <row r="24" customFormat="false" ht="15" hidden="false" customHeight="false" outlineLevel="0" collapsed="false">
      <c r="B24" s="9" t="s">
        <v>113</v>
      </c>
      <c r="C24" s="9" t="s">
        <v>114</v>
      </c>
      <c r="D24" s="24"/>
    </row>
    <row r="25" customFormat="false" ht="15" hidden="false" customHeight="false" outlineLevel="0" collapsed="false">
      <c r="B25" s="9" t="s">
        <v>115</v>
      </c>
      <c r="C25" s="9" t="s">
        <v>114</v>
      </c>
      <c r="D25" s="24"/>
    </row>
    <row r="26" customFormat="false" ht="15" hidden="false" customHeight="false" outlineLevel="0" collapsed="false">
      <c r="B26" s="9" t="s">
        <v>116</v>
      </c>
      <c r="C26" s="9" t="s">
        <v>114</v>
      </c>
      <c r="D26" s="24"/>
    </row>
    <row r="27" customFormat="false" ht="15" hidden="false" customHeight="false" outlineLevel="0" collapsed="false">
      <c r="B27" s="9"/>
      <c r="C27" s="9"/>
      <c r="D27" s="24"/>
    </row>
    <row r="28" customFormat="false" ht="15" hidden="false" customHeight="false" outlineLevel="0" collapsed="false">
      <c r="B28" s="9"/>
      <c r="C28" s="9"/>
      <c r="D28" s="24"/>
    </row>
    <row r="29" customFormat="false" ht="15" hidden="false" customHeight="false" outlineLevel="0" collapsed="false">
      <c r="B29" s="9"/>
      <c r="C29" s="9"/>
      <c r="D29" s="24"/>
    </row>
    <row r="30" customFormat="false" ht="15" hidden="false" customHeight="false" outlineLevel="0" collapsed="false">
      <c r="B30" s="9"/>
      <c r="C30" s="9"/>
      <c r="D30" s="24"/>
    </row>
    <row r="31" customFormat="false" ht="15" hidden="false" customHeight="false" outlineLevel="0" collapsed="false">
      <c r="B31" s="9"/>
      <c r="C31" s="9"/>
      <c r="D31" s="24"/>
    </row>
    <row r="32" customFormat="false" ht="15" hidden="false" customHeight="false" outlineLevel="0" collapsed="false">
      <c r="B32" s="9"/>
      <c r="C32" s="9"/>
      <c r="D32" s="24"/>
    </row>
    <row r="33" customFormat="false" ht="15" hidden="false" customHeight="false" outlineLevel="0" collapsed="false">
      <c r="B33" s="9"/>
      <c r="C33" s="9"/>
      <c r="D33" s="24"/>
    </row>
    <row r="34" customFormat="false" ht="15" hidden="false" customHeight="false" outlineLevel="0" collapsed="false">
      <c r="B34" s="9"/>
      <c r="C34" s="9"/>
      <c r="D34" s="24"/>
    </row>
    <row r="35" customFormat="false" ht="15" hidden="false" customHeight="false" outlineLevel="0" collapsed="false">
      <c r="B35" s="9"/>
      <c r="C35" s="9"/>
      <c r="D35" s="24"/>
    </row>
    <row r="36" customFormat="false" ht="15" hidden="false" customHeight="false" outlineLevel="0" collapsed="false">
      <c r="B36" s="9"/>
      <c r="C36" s="9"/>
      <c r="D36" s="24"/>
    </row>
    <row r="37" customFormat="false" ht="15" hidden="false" customHeight="false" outlineLevel="0" collapsed="false">
      <c r="B37" s="9"/>
      <c r="C37" s="9"/>
      <c r="D37" s="24"/>
    </row>
    <row r="38" customFormat="false" ht="15" hidden="false" customHeight="false" outlineLevel="0" collapsed="false">
      <c r="B38" s="9"/>
      <c r="C38" s="9"/>
      <c r="D38" s="24"/>
    </row>
    <row r="39" customFormat="false" ht="15" hidden="false" customHeight="false" outlineLevel="0" collapsed="false">
      <c r="B39" s="9"/>
      <c r="C39" s="9"/>
      <c r="D39" s="24"/>
    </row>
    <row r="40" customFormat="false" ht="15" hidden="false" customHeight="false" outlineLevel="0" collapsed="false">
      <c r="B40" s="9"/>
      <c r="C40" s="9"/>
      <c r="D40" s="24"/>
    </row>
    <row r="41" customFormat="false" ht="15" hidden="false" customHeight="false" outlineLevel="0" collapsed="false">
      <c r="B41" s="9"/>
      <c r="C41" s="9"/>
      <c r="D41" s="24"/>
    </row>
    <row r="42" customFormat="false" ht="15" hidden="false" customHeight="false" outlineLevel="0" collapsed="false">
      <c r="B42" s="9"/>
      <c r="C42" s="9"/>
      <c r="D42" s="24"/>
    </row>
    <row r="43" customFormat="false" ht="15" hidden="false" customHeight="false" outlineLevel="0" collapsed="false">
      <c r="B43" s="9"/>
      <c r="C43" s="9"/>
      <c r="D43" s="24"/>
    </row>
    <row r="44" customFormat="false" ht="15" hidden="false" customHeight="false" outlineLevel="0" collapsed="false">
      <c r="B44" s="9"/>
      <c r="C44" s="9"/>
      <c r="D44" s="24"/>
    </row>
    <row r="45" customFormat="false" ht="15" hidden="false" customHeight="false" outlineLevel="0" collapsed="false">
      <c r="B45" s="9"/>
      <c r="C45" s="9"/>
      <c r="D45" s="24"/>
    </row>
    <row r="46" customFormat="false" ht="15" hidden="false" customHeight="false" outlineLevel="0" collapsed="false">
      <c r="B46" s="9"/>
      <c r="C46" s="9"/>
      <c r="D46" s="24"/>
    </row>
    <row r="47" customFormat="false" ht="15" hidden="false" customHeight="false" outlineLevel="0" collapsed="false">
      <c r="B47" s="9"/>
      <c r="C47" s="9"/>
      <c r="D47" s="24"/>
    </row>
    <row r="48" customFormat="false" ht="15" hidden="false" customHeight="false" outlineLevel="0" collapsed="false">
      <c r="B48" s="9"/>
      <c r="C48" s="9"/>
      <c r="D48" s="24"/>
    </row>
    <row r="49" customFormat="false" ht="15" hidden="false" customHeight="false" outlineLevel="0" collapsed="false">
      <c r="B49" s="9"/>
      <c r="C49" s="9"/>
      <c r="D49" s="24"/>
    </row>
    <row r="50" customFormat="false" ht="15" hidden="false" customHeight="false" outlineLevel="0" collapsed="false">
      <c r="B50" s="9"/>
      <c r="C50" s="9"/>
      <c r="D50" s="24"/>
    </row>
    <row r="51" customFormat="false" ht="15" hidden="false" customHeight="false" outlineLevel="0" collapsed="false">
      <c r="B51" s="9"/>
      <c r="C51" s="9"/>
      <c r="D51" s="24"/>
    </row>
    <row r="52" customFormat="false" ht="15" hidden="false" customHeight="false" outlineLevel="0" collapsed="false">
      <c r="B52" s="9"/>
      <c r="C52" s="9"/>
      <c r="D52" s="24"/>
    </row>
    <row r="53" customFormat="false" ht="15" hidden="false" customHeight="false" outlineLevel="0" collapsed="false">
      <c r="B53" s="9"/>
      <c r="C53" s="9"/>
      <c r="D53" s="24"/>
    </row>
    <row r="54" customFormat="false" ht="15" hidden="false" customHeight="false" outlineLevel="0" collapsed="false">
      <c r="B54" s="9"/>
      <c r="C54" s="9"/>
      <c r="D54" s="24"/>
    </row>
    <row r="55" customFormat="false" ht="15" hidden="false" customHeight="false" outlineLevel="0" collapsed="false">
      <c r="B55" s="9"/>
      <c r="C55" s="9"/>
      <c r="D55" s="24"/>
    </row>
    <row r="56" customFormat="false" ht="15" hidden="false" customHeight="false" outlineLevel="0" collapsed="false">
      <c r="B56" s="9"/>
      <c r="C56" s="9"/>
      <c r="D56" s="24"/>
    </row>
    <row r="57" customFormat="false" ht="15" hidden="false" customHeight="false" outlineLevel="0" collapsed="false">
      <c r="B57" s="9"/>
      <c r="C57" s="9"/>
      <c r="D57" s="24"/>
    </row>
    <row r="58" customFormat="false" ht="15" hidden="false" customHeight="false" outlineLevel="0" collapsed="false">
      <c r="B58" s="9"/>
      <c r="C58" s="9"/>
      <c r="D58" s="24"/>
    </row>
    <row r="59" customFormat="false" ht="15" hidden="false" customHeight="false" outlineLevel="0" collapsed="false">
      <c r="B59" s="9"/>
      <c r="C59" s="9"/>
      <c r="D59" s="24"/>
    </row>
    <row r="60" customFormat="false" ht="15" hidden="false" customHeight="false" outlineLevel="0" collapsed="false">
      <c r="B60" s="9"/>
      <c r="C60" s="9"/>
      <c r="D60" s="24"/>
    </row>
    <row r="61" customFormat="false" ht="15" hidden="false" customHeight="false" outlineLevel="0" collapsed="false">
      <c r="B61" s="9"/>
      <c r="C61" s="9"/>
      <c r="D61" s="24"/>
    </row>
    <row r="62" customFormat="false" ht="15" hidden="false" customHeight="false" outlineLevel="0" collapsed="false">
      <c r="B62" s="9"/>
      <c r="C62" s="9"/>
      <c r="D62" s="24"/>
    </row>
    <row r="63" customFormat="false" ht="15" hidden="false" customHeight="false" outlineLevel="0" collapsed="false">
      <c r="B63" s="9"/>
      <c r="C63" s="9"/>
      <c r="D63" s="24"/>
    </row>
    <row r="64" customFormat="false" ht="15" hidden="false" customHeight="false" outlineLevel="0" collapsed="false">
      <c r="B64" s="9"/>
      <c r="C64" s="9"/>
      <c r="D64" s="24"/>
    </row>
    <row r="65" customFormat="false" ht="15" hidden="false" customHeight="false" outlineLevel="0" collapsed="false">
      <c r="B65" s="9"/>
      <c r="C65" s="9"/>
      <c r="D65" s="24"/>
    </row>
    <row r="66" customFormat="false" ht="15" hidden="false" customHeight="false" outlineLevel="0" collapsed="false">
      <c r="B66" s="9"/>
      <c r="C66" s="9"/>
      <c r="D66" s="24"/>
    </row>
    <row r="67" customFormat="false" ht="15" hidden="false" customHeight="false" outlineLevel="0" collapsed="false">
      <c r="B67" s="9"/>
      <c r="C67" s="9"/>
      <c r="D67" s="24"/>
    </row>
    <row r="68" customFormat="false" ht="15" hidden="false" customHeight="false" outlineLevel="0" collapsed="false">
      <c r="B68" s="9"/>
      <c r="C68" s="9"/>
      <c r="D68" s="24"/>
    </row>
    <row r="69" customFormat="false" ht="15" hidden="false" customHeight="false" outlineLevel="0" collapsed="false">
      <c r="B69" s="9"/>
      <c r="C69" s="9"/>
      <c r="D69" s="24"/>
    </row>
    <row r="70" customFormat="false" ht="15" hidden="false" customHeight="false" outlineLevel="0" collapsed="false">
      <c r="B70" s="9"/>
      <c r="C70" s="9"/>
      <c r="D70" s="24"/>
    </row>
    <row r="71" customFormat="false" ht="15" hidden="false" customHeight="false" outlineLevel="0" collapsed="false">
      <c r="B71" s="9"/>
      <c r="C71" s="9"/>
      <c r="D71" s="24"/>
    </row>
    <row r="72" customFormat="false" ht="15" hidden="false" customHeight="false" outlineLevel="0" collapsed="false">
      <c r="B72" s="9"/>
      <c r="C72" s="9"/>
      <c r="D72" s="24"/>
    </row>
    <row r="73" customFormat="false" ht="15" hidden="false" customHeight="false" outlineLevel="0" collapsed="false">
      <c r="B73" s="9"/>
      <c r="C73" s="9"/>
      <c r="D73" s="24"/>
    </row>
    <row r="74" customFormat="false" ht="15" hidden="false" customHeight="false" outlineLevel="0" collapsed="false">
      <c r="B74" s="9"/>
      <c r="C74" s="9"/>
      <c r="D74" s="24"/>
    </row>
    <row r="75" customFormat="false" ht="15" hidden="false" customHeight="false" outlineLevel="0" collapsed="false">
      <c r="B75" s="9"/>
      <c r="C75" s="9"/>
      <c r="D75" s="24"/>
    </row>
    <row r="76" customFormat="false" ht="15" hidden="false" customHeight="false" outlineLevel="0" collapsed="false">
      <c r="B76" s="9"/>
      <c r="C76" s="9"/>
      <c r="D76" s="24"/>
    </row>
    <row r="77" customFormat="false" ht="15" hidden="false" customHeight="false" outlineLevel="0" collapsed="false">
      <c r="B77" s="9"/>
      <c r="C77" s="9"/>
      <c r="D77" s="24"/>
    </row>
    <row r="78" customFormat="false" ht="15" hidden="false" customHeight="false" outlineLevel="0" collapsed="false">
      <c r="B78" s="9"/>
      <c r="C78" s="9"/>
      <c r="D78" s="24"/>
    </row>
    <row r="79" customFormat="false" ht="15" hidden="false" customHeight="false" outlineLevel="0" collapsed="false">
      <c r="B79" s="9"/>
      <c r="C79" s="9"/>
      <c r="D79" s="24"/>
    </row>
    <row r="80" customFormat="false" ht="15" hidden="false" customHeight="false" outlineLevel="0" collapsed="false">
      <c r="B80" s="9"/>
      <c r="C80" s="9"/>
      <c r="D80" s="24"/>
    </row>
    <row r="81" customFormat="false" ht="15" hidden="false" customHeight="false" outlineLevel="0" collapsed="false">
      <c r="B81" s="9"/>
      <c r="C81" s="9"/>
      <c r="D81" s="24"/>
    </row>
    <row r="82" customFormat="false" ht="15" hidden="false" customHeight="false" outlineLevel="0" collapsed="false">
      <c r="B82" s="9"/>
      <c r="C82" s="9"/>
      <c r="D82" s="24"/>
    </row>
    <row r="83" customFormat="false" ht="15" hidden="false" customHeight="false" outlineLevel="0" collapsed="false">
      <c r="B83" s="9"/>
      <c r="C83" s="9"/>
      <c r="D83" s="24"/>
    </row>
    <row r="84" customFormat="false" ht="15" hidden="false" customHeight="false" outlineLevel="0" collapsed="false">
      <c r="B84" s="9"/>
      <c r="C84" s="9"/>
      <c r="D84" s="24"/>
    </row>
    <row r="85" customFormat="false" ht="15" hidden="false" customHeight="false" outlineLevel="0" collapsed="false">
      <c r="B85" s="9"/>
      <c r="C85" s="9"/>
      <c r="D85" s="24"/>
    </row>
    <row r="86" customFormat="false" ht="15" hidden="false" customHeight="false" outlineLevel="0" collapsed="false">
      <c r="B86" s="9"/>
      <c r="C86" s="9"/>
      <c r="D86" s="24"/>
    </row>
    <row r="87" customFormat="false" ht="15" hidden="false" customHeight="false" outlineLevel="0" collapsed="false">
      <c r="B87" s="9"/>
      <c r="C87" s="9"/>
      <c r="D87" s="24"/>
    </row>
    <row r="88" customFormat="false" ht="15" hidden="false" customHeight="false" outlineLevel="0" collapsed="false">
      <c r="B88" s="9"/>
      <c r="C88" s="9"/>
      <c r="D88" s="24"/>
    </row>
    <row r="89" customFormat="false" ht="15" hidden="false" customHeight="false" outlineLevel="0" collapsed="false">
      <c r="B89" s="9"/>
      <c r="C89" s="9"/>
      <c r="D89" s="24"/>
    </row>
    <row r="90" customFormat="false" ht="15" hidden="false" customHeight="false" outlineLevel="0" collapsed="false">
      <c r="B90" s="9"/>
      <c r="C90" s="9"/>
      <c r="D90" s="24"/>
    </row>
    <row r="91" customFormat="false" ht="15" hidden="false" customHeight="false" outlineLevel="0" collapsed="false">
      <c r="B91" s="9"/>
      <c r="C91" s="9"/>
      <c r="D91" s="24"/>
    </row>
    <row r="92" customFormat="false" ht="15" hidden="false" customHeight="false" outlineLevel="0" collapsed="false">
      <c r="B92" s="9"/>
      <c r="C92" s="9"/>
      <c r="D92" s="24"/>
    </row>
    <row r="93" customFormat="false" ht="15" hidden="false" customHeight="false" outlineLevel="0" collapsed="false">
      <c r="B93" s="9"/>
      <c r="C93" s="9"/>
      <c r="D93" s="24"/>
    </row>
    <row r="94" customFormat="false" ht="15" hidden="false" customHeight="false" outlineLevel="0" collapsed="false">
      <c r="B94" s="9"/>
      <c r="C94" s="9"/>
      <c r="D94" s="24"/>
    </row>
    <row r="95" customFormat="false" ht="15" hidden="false" customHeight="false" outlineLevel="0" collapsed="false">
      <c r="B95" s="9"/>
      <c r="C95" s="9"/>
      <c r="D95" s="24"/>
    </row>
    <row r="96" customFormat="false" ht="15" hidden="false" customHeight="false" outlineLevel="0" collapsed="false">
      <c r="B96" s="9"/>
      <c r="C96" s="9"/>
      <c r="D96" s="24"/>
    </row>
    <row r="97" customFormat="false" ht="15" hidden="false" customHeight="false" outlineLevel="0" collapsed="false">
      <c r="B97" s="9"/>
      <c r="C97" s="9"/>
      <c r="D97" s="24"/>
    </row>
    <row r="98" customFormat="false" ht="15" hidden="false" customHeight="false" outlineLevel="0" collapsed="false">
      <c r="B98" s="9"/>
      <c r="C98" s="9"/>
      <c r="D98" s="24"/>
    </row>
    <row r="99" customFormat="false" ht="15" hidden="false" customHeight="false" outlineLevel="0" collapsed="false">
      <c r="B99" s="9"/>
      <c r="C99" s="9"/>
      <c r="D99" s="24"/>
    </row>
    <row r="100" customFormat="false" ht="15" hidden="false" customHeight="false" outlineLevel="0" collapsed="false">
      <c r="B100" s="9"/>
      <c r="C100" s="9"/>
      <c r="D100" s="24"/>
    </row>
    <row r="101" customFormat="false" ht="15" hidden="false" customHeight="false" outlineLevel="0" collapsed="false">
      <c r="B101" s="9"/>
      <c r="C101" s="9"/>
      <c r="D101" s="24"/>
    </row>
    <row r="102" customFormat="false" ht="15" hidden="false" customHeight="false" outlineLevel="0" collapsed="false">
      <c r="B102" s="9"/>
      <c r="C102" s="9"/>
      <c r="D102" s="24"/>
    </row>
    <row r="103" customFormat="false" ht="15" hidden="false" customHeight="false" outlineLevel="0" collapsed="false">
      <c r="B103" s="9"/>
      <c r="C103" s="9"/>
      <c r="D103" s="24"/>
    </row>
    <row r="104" customFormat="false" ht="15" hidden="false" customHeight="false" outlineLevel="0" collapsed="false">
      <c r="B104" s="9"/>
      <c r="C104" s="9"/>
      <c r="D104" s="24"/>
    </row>
    <row r="105" customFormat="false" ht="15" hidden="false" customHeight="false" outlineLevel="0" collapsed="false">
      <c r="B105" s="9"/>
      <c r="C105" s="9"/>
      <c r="D105" s="24"/>
    </row>
    <row r="106" customFormat="false" ht="15" hidden="false" customHeight="false" outlineLevel="0" collapsed="false">
      <c r="B106" s="9"/>
      <c r="C106" s="9"/>
      <c r="D106" s="24"/>
    </row>
    <row r="107" customFormat="false" ht="15" hidden="false" customHeight="false" outlineLevel="0" collapsed="false">
      <c r="B107" s="9"/>
      <c r="C107" s="9"/>
      <c r="D107" s="24"/>
    </row>
    <row r="108" customFormat="false" ht="15" hidden="false" customHeight="false" outlineLevel="0" collapsed="false">
      <c r="B108" s="9"/>
      <c r="C108" s="9"/>
      <c r="D108" s="24"/>
    </row>
    <row r="109" customFormat="false" ht="15" hidden="false" customHeight="false" outlineLevel="0" collapsed="false">
      <c r="B109" s="9"/>
      <c r="C109" s="9"/>
      <c r="D109" s="24"/>
    </row>
    <row r="110" customFormat="false" ht="15" hidden="false" customHeight="false" outlineLevel="0" collapsed="false">
      <c r="B110" s="9"/>
      <c r="C110" s="9"/>
      <c r="D110" s="24"/>
    </row>
    <row r="111" customFormat="false" ht="15" hidden="false" customHeight="false" outlineLevel="0" collapsed="false">
      <c r="B111" s="9"/>
      <c r="C111" s="9"/>
      <c r="D111" s="24"/>
    </row>
    <row r="112" customFormat="false" ht="15" hidden="false" customHeight="false" outlineLevel="0" collapsed="false">
      <c r="B112" s="9"/>
      <c r="C112" s="9"/>
      <c r="D112" s="24"/>
    </row>
    <row r="113" customFormat="false" ht="15" hidden="false" customHeight="false" outlineLevel="0" collapsed="false">
      <c r="B113" s="9"/>
      <c r="C113" s="9"/>
      <c r="D113" s="24"/>
    </row>
    <row r="114" customFormat="false" ht="15" hidden="false" customHeight="false" outlineLevel="0" collapsed="false">
      <c r="B114" s="9"/>
      <c r="C114" s="9"/>
      <c r="D114" s="24"/>
    </row>
    <row r="115" customFormat="false" ht="15" hidden="false" customHeight="false" outlineLevel="0" collapsed="false">
      <c r="B115" s="9"/>
      <c r="C115" s="9"/>
      <c r="D115" s="24"/>
    </row>
    <row r="116" customFormat="false" ht="15" hidden="false" customHeight="false" outlineLevel="0" collapsed="false">
      <c r="B116" s="9"/>
      <c r="C116" s="9"/>
      <c r="D116" s="24"/>
    </row>
    <row r="117" customFormat="false" ht="15" hidden="false" customHeight="false" outlineLevel="0" collapsed="false">
      <c r="B117" s="9"/>
      <c r="C117" s="9"/>
      <c r="D117" s="24"/>
    </row>
    <row r="118" customFormat="false" ht="15" hidden="false" customHeight="false" outlineLevel="0" collapsed="false">
      <c r="B118" s="9"/>
      <c r="C118" s="9"/>
      <c r="D118" s="24"/>
    </row>
    <row r="119" customFormat="false" ht="15" hidden="false" customHeight="false" outlineLevel="0" collapsed="false">
      <c r="B119" s="9"/>
      <c r="C119" s="9"/>
      <c r="D119" s="24"/>
    </row>
    <row r="120" customFormat="false" ht="15" hidden="false" customHeight="false" outlineLevel="0" collapsed="false">
      <c r="B120" s="9"/>
      <c r="C120" s="9"/>
      <c r="D120" s="24"/>
    </row>
    <row r="121" customFormat="false" ht="15" hidden="false" customHeight="false" outlineLevel="0" collapsed="false">
      <c r="B121" s="9"/>
      <c r="C121" s="9"/>
      <c r="D121" s="24"/>
    </row>
    <row r="122" customFormat="false" ht="15" hidden="false" customHeight="false" outlineLevel="0" collapsed="false">
      <c r="B122" s="9"/>
      <c r="C122" s="9"/>
      <c r="D122" s="24"/>
    </row>
    <row r="123" customFormat="false" ht="15" hidden="false" customHeight="false" outlineLevel="0" collapsed="false">
      <c r="B123" s="9"/>
      <c r="C123" s="9"/>
      <c r="D123" s="24"/>
    </row>
    <row r="124" customFormat="false" ht="15" hidden="false" customHeight="false" outlineLevel="0" collapsed="false">
      <c r="B124" s="9"/>
      <c r="C124" s="9"/>
      <c r="D124" s="24"/>
    </row>
    <row r="125" customFormat="false" ht="15" hidden="false" customHeight="false" outlineLevel="0" collapsed="false">
      <c r="B125" s="9"/>
      <c r="C125" s="9"/>
      <c r="D125" s="24"/>
    </row>
    <row r="126" customFormat="false" ht="15" hidden="false" customHeight="false" outlineLevel="0" collapsed="false">
      <c r="B126" s="9"/>
      <c r="C126" s="9"/>
      <c r="D126" s="24"/>
    </row>
    <row r="127" customFormat="false" ht="15" hidden="false" customHeight="false" outlineLevel="0" collapsed="false">
      <c r="B127" s="9"/>
      <c r="C127" s="9"/>
      <c r="D127" s="24"/>
    </row>
    <row r="128" customFormat="false" ht="15" hidden="false" customHeight="false" outlineLevel="0" collapsed="false">
      <c r="B128" s="9"/>
      <c r="C128" s="9"/>
      <c r="D128" s="24"/>
    </row>
    <row r="129" customFormat="false" ht="15" hidden="false" customHeight="false" outlineLevel="0" collapsed="false">
      <c r="B129" s="9"/>
      <c r="C129" s="9"/>
      <c r="D129" s="24"/>
    </row>
    <row r="130" customFormat="false" ht="15" hidden="false" customHeight="false" outlineLevel="0" collapsed="false">
      <c r="B130" s="9"/>
      <c r="C130" s="9"/>
      <c r="D130" s="24"/>
    </row>
    <row r="131" customFormat="false" ht="15" hidden="false" customHeight="false" outlineLevel="0" collapsed="false">
      <c r="B131" s="9"/>
      <c r="C131" s="9"/>
      <c r="D131" s="24"/>
    </row>
    <row r="132" customFormat="false" ht="15" hidden="false" customHeight="false" outlineLevel="0" collapsed="false">
      <c r="B132" s="9"/>
      <c r="C132" s="9"/>
      <c r="D132" s="24"/>
    </row>
    <row r="133" customFormat="false" ht="15" hidden="false" customHeight="false" outlineLevel="0" collapsed="false">
      <c r="B133" s="9"/>
      <c r="C133" s="9"/>
      <c r="D133" s="24"/>
    </row>
    <row r="134" customFormat="false" ht="15" hidden="false" customHeight="false" outlineLevel="0" collapsed="false">
      <c r="B134" s="9"/>
      <c r="C134" s="9"/>
      <c r="D134" s="24"/>
    </row>
    <row r="135" customFormat="false" ht="15" hidden="false" customHeight="false" outlineLevel="0" collapsed="false">
      <c r="B135" s="9"/>
      <c r="C135" s="9"/>
      <c r="D135" s="24"/>
    </row>
    <row r="136" customFormat="false" ht="15" hidden="false" customHeight="false" outlineLevel="0" collapsed="false">
      <c r="B136" s="9"/>
      <c r="C136" s="9"/>
      <c r="D136" s="24"/>
    </row>
    <row r="137" customFormat="false" ht="15" hidden="false" customHeight="false" outlineLevel="0" collapsed="false">
      <c r="B137" s="9"/>
      <c r="C137" s="9"/>
      <c r="D137" s="24"/>
    </row>
    <row r="138" customFormat="false" ht="15" hidden="false" customHeight="false" outlineLevel="0" collapsed="false">
      <c r="B138" s="9"/>
      <c r="C138" s="9"/>
      <c r="D138" s="24"/>
    </row>
    <row r="139" customFormat="false" ht="15" hidden="false" customHeight="false" outlineLevel="0" collapsed="false">
      <c r="B139" s="9"/>
      <c r="C139" s="9"/>
      <c r="D139" s="24"/>
    </row>
    <row r="140" customFormat="false" ht="15" hidden="false" customHeight="false" outlineLevel="0" collapsed="false">
      <c r="B140" s="9"/>
      <c r="C140" s="9"/>
      <c r="D140" s="24"/>
    </row>
    <row r="141" customFormat="false" ht="15" hidden="false" customHeight="false" outlineLevel="0" collapsed="false">
      <c r="B141" s="9"/>
      <c r="C141" s="9"/>
      <c r="D141" s="24"/>
    </row>
    <row r="142" customFormat="false" ht="15" hidden="false" customHeight="false" outlineLevel="0" collapsed="false">
      <c r="B142" s="9"/>
      <c r="C142" s="9"/>
      <c r="D142" s="24"/>
    </row>
    <row r="143" customFormat="false" ht="15" hidden="false" customHeight="false" outlineLevel="0" collapsed="false">
      <c r="B143" s="9"/>
      <c r="C143" s="9"/>
      <c r="D143" s="24"/>
    </row>
    <row r="144" customFormat="false" ht="15" hidden="false" customHeight="false" outlineLevel="0" collapsed="false">
      <c r="B144" s="9"/>
      <c r="C144" s="9"/>
      <c r="D144" s="24"/>
    </row>
    <row r="145" customFormat="false" ht="15" hidden="false" customHeight="false" outlineLevel="0" collapsed="false">
      <c r="B145" s="9"/>
      <c r="C145" s="9"/>
      <c r="D145" s="24"/>
    </row>
    <row r="146" customFormat="false" ht="15" hidden="false" customHeight="false" outlineLevel="0" collapsed="false">
      <c r="B146" s="9"/>
      <c r="C146" s="9"/>
      <c r="D146" s="24"/>
    </row>
    <row r="147" customFormat="false" ht="15" hidden="false" customHeight="false" outlineLevel="0" collapsed="false">
      <c r="B147" s="9"/>
      <c r="C147" s="9"/>
      <c r="D147" s="24"/>
    </row>
    <row r="148" customFormat="false" ht="15" hidden="false" customHeight="false" outlineLevel="0" collapsed="false">
      <c r="B148" s="9"/>
      <c r="C148" s="9"/>
      <c r="D148" s="24"/>
    </row>
    <row r="149" customFormat="false" ht="15" hidden="false" customHeight="false" outlineLevel="0" collapsed="false">
      <c r="B149" s="9"/>
      <c r="C149" s="9"/>
      <c r="D149" s="24"/>
    </row>
    <row r="150" customFormat="false" ht="15" hidden="false" customHeight="false" outlineLevel="0" collapsed="false">
      <c r="B150" s="9"/>
      <c r="C150" s="9"/>
      <c r="D150" s="24"/>
    </row>
    <row r="151" customFormat="false" ht="15" hidden="false" customHeight="false" outlineLevel="0" collapsed="false">
      <c r="B151" s="9"/>
      <c r="C151" s="9"/>
      <c r="D151" s="24"/>
    </row>
    <row r="152" customFormat="false" ht="15" hidden="false" customHeight="false" outlineLevel="0" collapsed="false">
      <c r="B152" s="9"/>
      <c r="C152" s="9"/>
      <c r="D152" s="24"/>
    </row>
    <row r="153" customFormat="false" ht="15" hidden="false" customHeight="false" outlineLevel="0" collapsed="false">
      <c r="B153" s="9"/>
      <c r="C153" s="9"/>
      <c r="D153" s="24"/>
    </row>
    <row r="154" customFormat="false" ht="15" hidden="false" customHeight="false" outlineLevel="0" collapsed="false">
      <c r="B154" s="9"/>
      <c r="C154" s="9"/>
      <c r="D154" s="24"/>
    </row>
    <row r="155" customFormat="false" ht="15" hidden="false" customHeight="false" outlineLevel="0" collapsed="false">
      <c r="B155" s="9"/>
      <c r="C155" s="9"/>
      <c r="D155" s="24"/>
    </row>
    <row r="156" customFormat="false" ht="15" hidden="false" customHeight="false" outlineLevel="0" collapsed="false">
      <c r="B156" s="9"/>
      <c r="C156" s="9"/>
      <c r="D156" s="24"/>
    </row>
    <row r="157" customFormat="false" ht="15" hidden="false" customHeight="false" outlineLevel="0" collapsed="false">
      <c r="B157" s="9"/>
      <c r="C157" s="9"/>
      <c r="D157" s="24"/>
    </row>
  </sheetData>
  <conditionalFormatting sqref="E5">
    <cfRule type="dataBar" priority="2">
      <dataBar showValue="1" minLength="10" maxLength="90">
        <cfvo type="num" val="0"/>
        <cfvo type="num" val="1"/>
        <color rgb="FF3F9B5A"/>
      </dataBar>
      <extLst>
        <ext xmlns:x14="http://schemas.microsoft.com/office/spreadsheetml/2009/9/main" uri="{B025F937-C7B1-47D3-B67F-A62EFF666E3E}">
          <x14:id>{62662191-FCFC-4FD9-B133-6533DFDE3C7F}</x14:id>
        </ext>
      </extLst>
    </cfRule>
  </conditionalFormatting>
  <conditionalFormatting sqref="B8:D157">
    <cfRule type="expression" priority="3" aboveAverage="0" equalAverage="0" bottom="0" percent="0" rank="0" text="" dxfId="2">
      <formula>$D8="✓"</formula>
    </cfRule>
  </conditionalFormatting>
  <dataValidations count="1">
    <dataValidation allowBlank="true" errorStyle="stop" operator="between" showDropDown="false" showErrorMessage="false" showInputMessage="false" sqref="D8:D157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662191-FCFC-4FD9-B133-6533DFDE3C7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3F9B5A"/>
              <x14:axisColor rgb="FF000000"/>
            </x14:dataBar>
          </x14:cfRule>
          <xm:sqref>E5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2026-10-29T22:00:28Z</dcterms:created>
  <dc:creator>openpyxl</dc:creator>
  <dc:description/>
  <dc:language>en-US</dc:language>
  <cp:lastModifiedBy/>
  <dcterms:modified xsi:type="dcterms:W3CDTF">2026-10-29T22:00:31Z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
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Dashboard" sheetId="2" state="visible" r:id="rId4"/>
    <sheet name="Gift Planner" sheetId="3" state="visible" r:id="rId5"/>
    <sheet name="Budget" sheetId="4" state="visible" r:id="rId6"/>
    <sheet name="Spending Log" sheetId="5" state="visible" r:id="rId7"/>
    <sheet name="Card List" sheetId="6" state="visible" r:id="rId8"/>
    <sheet name="Dinner" sheetId="7" state="visible" r:id="rId9"/>
    <sheet name="Shopping List" sheetId="8" state="visible" r:id="rId10"/>
    <sheet name="Cooking Timeline" sheetId="9" state="visible" r:id="rId11"/>
    <sheet name="Secret Santa" sheetId="10" state="visible" r:id="rId12"/>
    <sheet name="Travel" sheetId="11" state="visible" r:id="rId13"/>
    <sheet name="To-Do Lis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<sst xmlns="http://schemas.openxmlformats.org/spreadsheetml/2006/main" count="353" uniqueCount="279">
  <si>
    <t xml:space="preserve">The Ultimate Christmas Organiser</t>
  </si>
  <si>
    <t xml:space="preserve">by The Geek Next Door Co.</t>
  </si>
  <si>
    <t xml:space="preserve">How to use this organiser</t>
  </si>
  <si>
    <t xml:space="preserve">1.  Dashboard — type your family name, the year and your total Christmas budget. Your countdown and progress bars live here.</t>
  </si>
  <si>
    <t xml:space="preserve">2.  Gift Planner — one row per gift. Set a budget, log the real cost, and move each gift from Idea → Ordered → Bought → Wrapped → Given.</t>
  </si>
  <si>
    <t xml:space="preserve">3.  Budget — set a budget per category. Gifts, Food &amp; Drink and Travel fill in automatically; log anything else on the Spending Log tab.</t>
  </si>
  <si>
    <t xml:space="preserve">4.  Card List — names and addresses, then tick off sent and received cards.</t>
  </si>
  <si>
    <t xml:space="preserve">5.  Dinner — guest list with RSVPs and dietary needs, plus your menu and who's making what.</t>
  </si>
  <si>
    <t xml:space="preserve">6.  Shopping List — everything for the big meal, with costs. Tick items as you buy them.</t>
  </si>
  <si>
    <t xml:space="preserve">7.  Cooking Timeline — set your serving time and how long before it each job starts. Start times calculate themselves.</t>
  </si>
  <si>
    <t xml:space="preserve">8.  Secret Santa — add everyone's names and wishlists. Each person types their name in the reveal box to see who they're buying for.</t>
  </si>
  <si>
    <t xml:space="preserve">9.  Travel — journeys to and from family, booking references and a quick packing list.</t>
  </si>
  <si>
    <t xml:space="preserve">10.  To-Do List — a ready-made Christmas checklist with due dates. Overdue jobs turn red.</t>
  </si>
  <si>
    <t xml:space="preserve">Colour key</t>
  </si>
  <si>
    <t xml:space="preserve">  Pale yellow cells = type here. Everything else calculates automatically.</t>
  </si>
  <si>
    <t xml:space="preserve">  ✓ columns: pick ✓ from the dropdown to tick something off.</t>
  </si>
  <si>
    <t xml:space="preserve">Works in Microsoft Excel and Google Sheets. The example rows just show you the format — overwrite or delete them.</t>
  </si>
  <si>
    <t xml:space="preserve">Cooking times in the timeline are examples only — always follow your recipe and food-safety guidance.</t>
  </si>
  <si>
    <t xml:space="preserve">Your Christmas at a glance.</t>
  </si>
  <si>
    <t xml:space="preserve">Family name</t>
  </si>
  <si>
    <t xml:space="preserve">Smith</t>
  </si>
  <si>
    <t xml:space="preserve">Year</t>
  </si>
  <si>
    <t xml:space="preserve">Total Christmas budget</t>
  </si>
  <si>
    <t xml:space="preserve">Days until Christmas</t>
  </si>
  <si>
    <t xml:space="preserve">Money</t>
  </si>
  <si>
    <t xml:space="preserve">Progress</t>
  </si>
  <si>
    <t xml:space="preserve">Total budget</t>
  </si>
  <si>
    <t xml:space="preserve">Gifts bought</t>
  </si>
  <si>
    <t xml:space="preserve">Spent so far</t>
  </si>
  <si>
    <t xml:space="preserve">Gifts wrapped</t>
  </si>
  <si>
    <t xml:space="preserve">Left to spend</t>
  </si>
  <si>
    <t xml:space="preserve">Cards sent</t>
  </si>
  <si>
    <t xml:space="preserve">% of budget used</t>
  </si>
  <si>
    <t xml:space="preserve">Food shopping done</t>
  </si>
  <si>
    <t xml:space="preserve">To-do list done</t>
  </si>
  <si>
    <t xml:space="preserve">Packing done</t>
  </si>
  <si>
    <t xml:space="preserve">Numbers</t>
  </si>
  <si>
    <t xml:space="preserve">Gifts on the list</t>
  </si>
  <si>
    <t xml:space="preserve">People getting gifts</t>
  </si>
  <si>
    <t xml:space="preserve">Dinner guests confirmed</t>
  </si>
  <si>
    <t xml:space="preserve">Secret Santa players</t>
  </si>
  <si>
    <t xml:space="preserve">Gift Planner</t>
  </si>
  <si>
    <t xml:space="preserve">One row per gift. Status: Idea → Ordered → Bought → Wrapped → Given.</t>
  </si>
  <si>
    <t xml:space="preserve">Planned</t>
  </si>
  <si>
    <t xml:space="preserve">Spent</t>
  </si>
  <si>
    <t xml:space="preserve">Recipient</t>
  </si>
  <si>
    <t xml:space="preserve">Group</t>
  </si>
  <si>
    <t xml:space="preserve">Gift idea</t>
  </si>
  <si>
    <t xml:space="preserve">Where to buy / link</t>
  </si>
  <si>
    <t xml:space="preserve">Budget</t>
  </si>
  <si>
    <t xml:space="preserve">Actual cost</t>
  </si>
  <si>
    <t xml:space="preserve">Status</t>
  </si>
  <si>
    <t xml:space="preserve">Notes</t>
  </si>
  <si>
    <t xml:space="preserve">By group</t>
  </si>
  <si>
    <t xml:space="preserve">Mum</t>
  </si>
  <si>
    <t xml:space="preserve">Family</t>
  </si>
  <si>
    <t xml:space="preserve">Cashmere scarf</t>
  </si>
  <si>
    <t xml:space="preserve">John Lewis</t>
  </si>
  <si>
    <t xml:space="preserve">Bought</t>
  </si>
  <si>
    <t xml:space="preserve">Dad</t>
  </si>
  <si>
    <t xml:space="preserve">Coffee subscription</t>
  </si>
  <si>
    <t xml:space="preserve">Online</t>
  </si>
  <si>
    <t xml:space="preserve">Ordered</t>
  </si>
  <si>
    <t xml:space="preserve">Friends</t>
  </si>
  <si>
    <t xml:space="preserve">Lily (niece)</t>
  </si>
  <si>
    <t xml:space="preserve">Kids</t>
  </si>
  <si>
    <t xml:space="preserve">LEGO Friends set</t>
  </si>
  <si>
    <t xml:space="preserve">Argos</t>
  </si>
  <si>
    <t xml:space="preserve">Idea</t>
  </si>
  <si>
    <t xml:space="preserve">Secret Santa</t>
  </si>
  <si>
    <t xml:space="preserve">Work</t>
  </si>
  <si>
    <t xml:space="preserve">Desk plant</t>
  </si>
  <si>
    <t xml:space="preserve">Garden centre</t>
  </si>
  <si>
    <t xml:space="preserve">Wrapped</t>
  </si>
  <si>
    <t xml:space="preserve">Other</t>
  </si>
  <si>
    <t xml:space="preserve">Total</t>
  </si>
  <si>
    <t xml:space="preserve">Red actual cost = over that gift's budget.</t>
  </si>
  <si>
    <t xml:space="preserve">Christmas Budget</t>
  </si>
  <si>
    <t xml:space="preserve">Set a budget per category. Spent adds up automatically.</t>
  </si>
  <si>
    <t xml:space="preserve">Category</t>
  </si>
  <si>
    <t xml:space="preserve">Left</t>
  </si>
  <si>
    <t xml:space="preserve">Where 'spent' comes from</t>
  </si>
  <si>
    <t xml:space="preserve">Gifts</t>
  </si>
  <si>
    <t xml:space="preserve">Gift Planner (actual cost) + Spending Log</t>
  </si>
  <si>
    <t xml:space="preserve">Food &amp; drink</t>
  </si>
  <si>
    <t xml:space="preserve">Shopping List (actual cost) + Spending Log</t>
  </si>
  <si>
    <t xml:space="preserve">Decorations</t>
  </si>
  <si>
    <t xml:space="preserve">Spending Log</t>
  </si>
  <si>
    <t xml:space="preserve">Cards &amp; postage</t>
  </si>
  <si>
    <t xml:space="preserve">Wrapping</t>
  </si>
  <si>
    <t xml:space="preserve">Travel</t>
  </si>
  <si>
    <t xml:space="preserve">Travel tab (cost) + Spending Log</t>
  </si>
  <si>
    <t xml:space="preserve">Outfits</t>
  </si>
  <si>
    <t xml:space="preserve">Parties &amp; events</t>
  </si>
  <si>
    <t xml:space="preserve">Charity</t>
  </si>
  <si>
    <t xml:space="preserve">Total budget (Dashboard)</t>
  </si>
  <si>
    <t xml:space="preserve">Not yet allocated</t>
  </si>
  <si>
    <t xml:space="preserve">If 'not yet allocated' is negative, your category budgets add up to more than your total budget.</t>
  </si>
  <si>
    <t xml:space="preserve">Anything that isn't a gift, food-shopping item or travel booking goes here.</t>
  </si>
  <si>
    <t xml:space="preserve">Date</t>
  </si>
  <si>
    <t xml:space="preserve">Item</t>
  </si>
  <si>
    <t xml:space="preserve">Amount</t>
  </si>
  <si>
    <t xml:space="preserve">Tree and lights</t>
  </si>
  <si>
    <t xml:space="preserve">Wrapping paper &amp; tape</t>
  </si>
  <si>
    <t xml:space="preserve">Stamps</t>
  </si>
  <si>
    <t xml:space="preserve">Christmas Card List</t>
  </si>
  <si>
    <t xml:space="preserve">Tick Sent when it's in the post, Received when theirs arrives.</t>
  </si>
  <si>
    <t xml:space="preserve">Name</t>
  </si>
  <si>
    <t xml:space="preserve">Address</t>
  </si>
  <si>
    <t xml:space="preserve">Type</t>
  </si>
  <si>
    <t xml:space="preserve">Sent</t>
  </si>
  <si>
    <t xml:space="preserve">Received</t>
  </si>
  <si>
    <t xml:space="preserve">Auntie Jean &amp; Bob</t>
  </si>
  <si>
    <t xml:space="preserve">12 Holly Lane, York, YO1 2AB</t>
  </si>
  <si>
    <t xml:space="preserve">Card</t>
  </si>
  <si>
    <t xml:space="preserve">✓</t>
  </si>
  <si>
    <t xml:space="preserve">The Patels</t>
  </si>
  <si>
    <t xml:space="preserve">Email</t>
  </si>
  <si>
    <t xml:space="preserve">E-card</t>
  </si>
  <si>
    <t xml:space="preserve">Christmas Dinner</t>
  </si>
  <si>
    <t xml:space="preserve">Guests, RSVPs, dietary needs and the menu.</t>
  </si>
  <si>
    <t xml:space="preserve">Confirmed guests</t>
  </si>
  <si>
    <t xml:space="preserve">Guest</t>
  </si>
  <si>
    <t xml:space="preserve">RSVP</t>
  </si>
  <si>
    <t xml:space="preserve">Dietary needs</t>
  </si>
  <si>
    <t xml:space="preserve">Bringing</t>
  </si>
  <si>
    <t xml:space="preserve">Course</t>
  </si>
  <si>
    <t xml:space="preserve">Dish</t>
  </si>
  <si>
    <t xml:space="preserve">Made by</t>
  </si>
  <si>
    <t xml:space="preserve">Dietary notes</t>
  </si>
  <si>
    <t xml:space="preserve">Grandma</t>
  </si>
  <si>
    <t xml:space="preserve">Yes</t>
  </si>
  <si>
    <t xml:space="preserve">No nuts</t>
  </si>
  <si>
    <t xml:space="preserve">Trifle</t>
  </si>
  <si>
    <t xml:space="preserve">Starter</t>
  </si>
  <si>
    <t xml:space="preserve">Prawn cocktail</t>
  </si>
  <si>
    <t xml:space="preserve">Me</t>
  </si>
  <si>
    <t xml:space="preserve">Tom</t>
  </si>
  <si>
    <t xml:space="preserve">Vegetarian</t>
  </si>
  <si>
    <t xml:space="preserve">Wine</t>
  </si>
  <si>
    <t xml:space="preserve">Roasted tomato soup</t>
  </si>
  <si>
    <t xml:space="preserve">V</t>
  </si>
  <si>
    <t xml:space="preserve">Priya</t>
  </si>
  <si>
    <t xml:space="preserve">Maybe</t>
  </si>
  <si>
    <t xml:space="preserve">Main</t>
  </si>
  <si>
    <t xml:space="preserve">Roast turkey</t>
  </si>
  <si>
    <t xml:space="preserve">Nut roast</t>
  </si>
  <si>
    <t xml:space="preserve">V, contains nuts</t>
  </si>
  <si>
    <t xml:space="preserve">Sides</t>
  </si>
  <si>
    <t xml:space="preserve">Roast potatoes</t>
  </si>
  <si>
    <t xml:space="preserve">VG</t>
  </si>
  <si>
    <t xml:space="preserve">Pigs in blankets</t>
  </si>
  <si>
    <t xml:space="preserve">Sprouts &amp; chestnuts</t>
  </si>
  <si>
    <t xml:space="preserve">Dessert</t>
  </si>
  <si>
    <t xml:space="preserve">Christmas pudding</t>
  </si>
  <si>
    <t xml:space="preserve">Shop</t>
  </si>
  <si>
    <t xml:space="preserve">Food Shopping List</t>
  </si>
  <si>
    <t xml:space="preserve">Everything for the big meal. Tick as you go.</t>
  </si>
  <si>
    <t xml:space="preserve">Estimated</t>
  </si>
  <si>
    <t xml:space="preserve">Actual</t>
  </si>
  <si>
    <t xml:space="preserve">Section</t>
  </si>
  <si>
    <t xml:space="preserve">Quantity</t>
  </si>
  <si>
    <t xml:space="preserve">Est. cost</t>
  </si>
  <si>
    <t xml:space="preserve">Turkey crown (2kg)</t>
  </si>
  <si>
    <t xml:space="preserve">Meat &amp; fish</t>
  </si>
  <si>
    <t xml:space="preserve">1</t>
  </si>
  <si>
    <t xml:space="preserve">Butcher</t>
  </si>
  <si>
    <t xml:space="preserve">Potatoes</t>
  </si>
  <si>
    <t xml:space="preserve">Fruit &amp; veg</t>
  </si>
  <si>
    <t xml:space="preserve">2.5kg</t>
  </si>
  <si>
    <t xml:space="preserve">Supermarket</t>
  </si>
  <si>
    <t xml:space="preserve">Brussels sprouts</t>
  </si>
  <si>
    <t xml:space="preserve">750g</t>
  </si>
  <si>
    <t xml:space="preserve">2 packs</t>
  </si>
  <si>
    <t xml:space="preserve">Double cream</t>
  </si>
  <si>
    <t xml:space="preserve">Dairy</t>
  </si>
  <si>
    <t xml:space="preserve">600ml</t>
  </si>
  <si>
    <t xml:space="preserve">Prosecco</t>
  </si>
  <si>
    <t xml:space="preserve">Drinks</t>
  </si>
  <si>
    <t xml:space="preserve">2 bottles</t>
  </si>
  <si>
    <t xml:space="preserve">Cooking Timeline</t>
  </si>
  <si>
    <t xml:space="preserve">Set your serving time. Each job's start time works backwards from it.</t>
  </si>
  <si>
    <t xml:space="preserve">Dinner served at</t>
  </si>
  <si>
    <t xml:space="preserve">Job</t>
  </si>
  <si>
    <t xml:space="preserve">Minutes before serving</t>
  </si>
  <si>
    <t xml:space="preserve">Start at</t>
  </si>
  <si>
    <t xml:space="preserve">Done</t>
  </si>
  <si>
    <t xml:space="preserve">Turkey into the oven</t>
  </si>
  <si>
    <t xml:space="preserve">Peel potatoes &amp; veg</t>
  </si>
  <si>
    <t xml:space="preserve">Par-boil potatoes</t>
  </si>
  <si>
    <t xml:space="preserve">Potatoes into the oven</t>
  </si>
  <si>
    <t xml:space="preserve">Pigs in blankets in</t>
  </si>
  <si>
    <t xml:space="preserve">Turkey out to rest</t>
  </si>
  <si>
    <t xml:space="preserve">Sprouts on</t>
  </si>
  <si>
    <t xml:space="preserve">Make gravy</t>
  </si>
  <si>
    <t xml:space="preserve">Warm plates</t>
  </si>
  <si>
    <t xml:space="preserve">Carve &amp; serve</t>
  </si>
  <si>
    <t xml:space="preserve">Example times only — follow your recipe and the cooking instructions on your food.</t>
  </si>
  <si>
    <t xml:space="preserve">Tip: list jobs biggest number first so the timeline reads top to bottom.</t>
  </si>
  <si>
    <t xml:space="preserve">Add everyone, then each person reveals their own match below.</t>
  </si>
  <si>
    <t xml:space="preserve">Spend limit</t>
  </si>
  <si>
    <t xml:space="preserve">Reveal your match</t>
  </si>
  <si>
    <t xml:space="preserve">Gift exchange date</t>
  </si>
  <si>
    <t xml:space="preserve">Type your name</t>
  </si>
  <si>
    <t xml:space="preserve">Shuffle number</t>
  </si>
  <si>
    <t xml:space="preserve">Change the shuffle number for a new draw (any whole number).</t>
  </si>
  <si>
    <t xml:space="preserve">You're buying for</t>
  </si>
  <si>
    <t xml:space="preserve">Their wishlist</t>
  </si>
  <si>
    <t xml:space="preserve">Please avoid</t>
  </si>
  <si>
    <t xml:space="preserve">Wishlist / likes</t>
  </si>
  <si>
    <t xml:space="preserve">Avoid / allergies</t>
  </si>
  <si>
    <t xml:space="preserve">key</t>
  </si>
  <si>
    <t xml:space="preserve">order</t>
  </si>
  <si>
    <t xml:space="preserve">buys for</t>
  </si>
  <si>
    <t xml:space="preserve">Alex</t>
  </si>
  <si>
    <t xml:space="preserve">Books, fancy chocolate</t>
  </si>
  <si>
    <t xml:space="preserve">Sam</t>
  </si>
  <si>
    <t xml:space="preserve">No candles please</t>
  </si>
  <si>
    <t xml:space="preserve">Jordan</t>
  </si>
  <si>
    <t xml:space="preserve">Chris</t>
  </si>
  <si>
    <t xml:space="preserve">Mo</t>
  </si>
  <si>
    <t xml:space="preserve">Nobody is ever matched with themselves. Clear the name box before passing the screen to the next person.</t>
  </si>
  <si>
    <t xml:space="preserve">Need at least 3 players. The full draw is in hidden columns H–J if the organiser needs it.</t>
  </si>
  <si>
    <t xml:space="preserve">Holiday Travel</t>
  </si>
  <si>
    <t xml:space="preserve">Journeys to and from family, plus a quick packing list.</t>
  </si>
  <si>
    <t xml:space="preserve">Journey</t>
  </si>
  <si>
    <t xml:space="preserve">Transport</t>
  </si>
  <si>
    <t xml:space="preserve">Departs</t>
  </si>
  <si>
    <t xml:space="preserve">Booking ref</t>
  </si>
  <si>
    <t xml:space="preserve">Cost</t>
  </si>
  <si>
    <t xml:space="preserve">London → Manchester</t>
  </si>
  <si>
    <t xml:space="preserve">Train</t>
  </si>
  <si>
    <t xml:space="preserve">AB12CD</t>
  </si>
  <si>
    <t xml:space="preserve">Manchester → London</t>
  </si>
  <si>
    <t xml:space="preserve">AB12CE</t>
  </si>
  <si>
    <t xml:space="preserve">Packing list</t>
  </si>
  <si>
    <t xml:space="preserve">Packed</t>
  </si>
  <si>
    <t xml:space="preserve">Presents!</t>
  </si>
  <si>
    <t xml:space="preserve">Chargers</t>
  </si>
  <si>
    <t xml:space="preserve">Christmas jumper</t>
  </si>
  <si>
    <t xml:space="preserve">Party outfit</t>
  </si>
  <si>
    <t xml:space="preserve">Pyjamas</t>
  </si>
  <si>
    <t xml:space="preserve">Toiletries</t>
  </si>
  <si>
    <t xml:space="preserve">Medication</t>
  </si>
  <si>
    <t xml:space="preserve">Board game</t>
  </si>
  <si>
    <t xml:space="preserve">Tickets / railcard</t>
  </si>
  <si>
    <t xml:space="preserve">Christmas To-Do List</t>
  </si>
  <si>
    <t xml:space="preserve">A ready-made checklist. Change the dates to suit you; overdue jobs turn red.</t>
  </si>
  <si>
    <t xml:space="preserve">Task</t>
  </si>
  <si>
    <t xml:space="preserve">When</t>
  </si>
  <si>
    <t xml:space="preserve">Due</t>
  </si>
  <si>
    <t xml:space="preserve">Days left</t>
  </si>
  <si>
    <t xml:space="preserve">Set your Christmas budget</t>
  </si>
  <si>
    <t xml:space="preserve">Early Nov</t>
  </si>
  <si>
    <t xml:space="preserve">Write the gift list</t>
  </si>
  <si>
    <t xml:space="preserve">Book Christmas travel</t>
  </si>
  <si>
    <t xml:space="preserve">Order personalised gifts</t>
  </si>
  <si>
    <t xml:space="preserve">Mid Nov</t>
  </si>
  <si>
    <t xml:space="preserve">Black Friday gift shopping</t>
  </si>
  <si>
    <t xml:space="preserve">Late Nov</t>
  </si>
  <si>
    <t xml:space="preserve">Buy cards &amp; stamps</t>
  </si>
  <si>
    <t xml:space="preserve">Put the tree up</t>
  </si>
  <si>
    <t xml:space="preserve">Early Dec</t>
  </si>
  <si>
    <t xml:space="preserve">Book food delivery / order turkey</t>
  </si>
  <si>
    <t xml:space="preserve">Organise Secret Santa</t>
  </si>
  <si>
    <t xml:space="preserve">Write &amp; post cards (check Royal Mail last posting dates)</t>
  </si>
  <si>
    <t xml:space="preserve">Post gifts to faraway family</t>
  </si>
  <si>
    <t xml:space="preserve">Mid Dec</t>
  </si>
  <si>
    <t xml:space="preserve">Finish gift shopping</t>
  </si>
  <si>
    <t xml:space="preserve">Wrap presents</t>
  </si>
  <si>
    <t xml:space="preserve">Plan the cooking timeline</t>
  </si>
  <si>
    <t xml:space="preserve">Big food shop</t>
  </si>
  <si>
    <t xml:space="preserve">Christmas week</t>
  </si>
  <si>
    <t xml:space="preserve">Defrost turkey if frozen (check guidance)</t>
  </si>
  <si>
    <t xml:space="preserve">Prep veg</t>
  </si>
  <si>
    <t xml:space="preserve">Christmas Eve</t>
  </si>
  <si>
    <t xml:space="preserve">Stockings ready</t>
  </si>
  <si>
    <t xml:space="preserve">Enjoy it!</t>
  </si>
  <si>
    <t xml:space="preserve">Christmas Day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</si>
</sst>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£#,##0.00;&quot;-£&quot;#,##0.00;\-"/>
    <numFmt numFmtId="167" formatCode="0%"/>
    <numFmt numFmtId="168" formatCode="dd\ mmm\ yyyy"/>
    <numFmt numFmtId="169" formatCode="hh:mm"/>
    <numFmt numFmtId="170" formatCode="ddd\ dd\ m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B3261E"/>
      <name val="Arial"/>
      <family val="0"/>
      <charset val="1"/>
    </font>
    <font>
      <i val="true"/>
      <sz val="10"/>
      <color rgb="FF5A544B"/>
      <name val="Arial"/>
      <family val="0"/>
      <charset val="1"/>
    </font>
    <font>
      <b val="true"/>
      <sz val="14"/>
      <color rgb="FF1E5631"/>
      <name val="Arial"/>
      <family val="0"/>
      <charset val="1"/>
    </font>
    <font>
      <sz val="11"/>
      <color rgb="FF2A1F1A"/>
      <name val="Arial"/>
      <family val="0"/>
      <charset val="1"/>
    </font>
    <font>
      <i val="true"/>
      <sz val="9"/>
      <color rgb="FF8A8378"/>
      <name val="Arial"/>
      <family val="0"/>
      <charset val="1"/>
    </font>
    <font>
      <b val="true"/>
      <sz val="10"/>
      <color rgb="FF2A1F1A"/>
      <name val="Arial"/>
      <family val="0"/>
      <charset val="1"/>
    </font>
    <font>
      <sz val="10"/>
      <color rgb="FF2A1F1A"/>
      <name val="Arial"/>
      <family val="0"/>
      <charset val="1"/>
    </font>
    <font>
      <b val="true"/>
      <sz val="22"/>
      <color rgb="FFB326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B326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3261E"/>
        <bgColor rgb="FF993366"/>
      </patternFill>
    </fill>
    <fill>
      <patternFill patternType="solid">
        <fgColor rgb="FF1E5631"/>
        <bgColor rgb="FF5A544B"/>
      </patternFill>
    </fill>
    <fill>
      <patternFill patternType="solid">
        <fgColor rgb="FFC9A227"/>
        <bgColor rgb="FF99CC00"/>
      </patternFill>
    </fill>
    <fill>
      <patternFill patternType="solid">
        <fgColor rgb="FFFBF7EF"/>
        <bgColor rgb="FFFFFFFF"/>
      </patternFill>
    </fill>
    <fill>
      <patternFill patternType="solid">
        <fgColor rgb="FFFFF6D6"/>
        <bgColor rgb="FFFBEF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FCC"/>
      </left>
      <right style="thin">
        <color rgb="FFE8DFCC"/>
      </right>
      <top style="thin">
        <color rgb="FFE8DFCC"/>
      </top>
      <bottom style="thin">
        <color rgb="FFE8DF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B3261E"/>
      </font>
    </dxf>
    <dxf>
      <fill>
        <patternFill>
          <bgColor rgb="FFEFEBE3"/>
        </patternFill>
      </fill>
    </dxf>
    <dxf>
      <fill>
        <patternFill>
          <bgColor rgb="FFFBEFC9"/>
        </patternFill>
      </fill>
    </dxf>
    <dxf>
      <fill>
        <patternFill>
          <bgColor rgb="FFDCEBDF"/>
        </patternFill>
      </fill>
    </dxf>
    <dxf>
      <fill>
        <patternFill>
          <bgColor rgb="FFB9D7C1"/>
        </patternFill>
      </fill>
    </dxf>
    <dxf>
      <fill>
        <patternFill>
          <bgColor rgb="FF8FBF9E"/>
        </patternFill>
      </fill>
    </dxf>
    <dxf>
      <font>
        <name val="Arial"/>
        <charset val="1"/>
        <family val="0"/>
        <strike val="1"/>
        <color rgb="FF8A8378"/>
      </font>
      <fill>
        <patternFill>
          <bgColor rgb="FFE3EFE6"/>
        </patternFill>
      </fill>
    </dxf>
    <dxf>
      <fill>
        <patternFill>
          <bgColor rgb="FFF6DAD6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3261E"/>
        </patternFill>
      </fill>
    </dxf>
    <dxf>
      <font>
        <name val="Arial"/>
        <charset val="1"/>
        <family val="0"/>
        <b val="1"/>
      </font>
      <fill>
        <patternFill>
          <bgColor rgb="FFFBEF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D7C1"/>
      <rgbColor rgb="FF8A8378"/>
      <rgbColor rgb="FF9999FF"/>
      <rgbColor rgb="FF993366"/>
      <rgbColor rgb="FFFFF6D6"/>
      <rgbColor rgb="FFE3EF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BE3"/>
      <rgbColor rgb="FFDCEBDF"/>
      <rgbColor rgb="FFFBEFC9"/>
      <rgbColor rgb="FF8FBF9E"/>
      <rgbColor rgb="FFE8DFCC"/>
      <rgbColor rgb="FFFBF7EF"/>
      <rgbColor rgb="FFF6DAD6"/>
      <rgbColor rgb="FF3366FF"/>
      <rgbColor rgb="FF33CCCC"/>
      <rgbColor rgb="FF99CC00"/>
      <rgbColor rgb="FFFFCC00"/>
      <rgbColor rgb="FFC9A227"/>
      <rgbColor rgb="FFFF6600"/>
      <rgbColor rgb="FF5A544B"/>
      <rgbColor rgb="FF878787"/>
      <rgbColor rgb="FF003366"/>
      <rgbColor rgb="FF339966"/>
      <rgbColor rgb="FF003300"/>
      <rgbColor rgb="FF1E5631"/>
      <rgbColor rgb="FFB3261E"/>
      <rgbColor rgb="FF993366"/>
      <rgbColor rgb="FF333399"/>
      <rgbColor rgb="FF2A1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spent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Budget!C5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e8df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Budget!$B$6:$B$15</c:f>
              <c:strCache>
                <c:ptCount val="10"/>
                <c:pt idx="0">
                  <c:v>Gifts</c:v>
                </c:pt>
                <c:pt idx="1">
                  <c:v>Food &amp; drink</c:v>
                </c:pt>
                <c:pt idx="2">
                  <c:v>Decorations</c:v>
                </c:pt>
                <c:pt idx="3">
                  <c:v>Cards &amp; postage</c:v>
                </c:pt>
                <c:pt idx="4">
                  <c:v>Wrapping</c:v>
                </c:pt>
                <c:pt idx="5">
                  <c:v>Travel</c:v>
                </c:pt>
                <c:pt idx="6">
                  <c:v>Outfits</c:v>
                </c:pt>
                <c:pt idx="7">
                  <c:v>Parties &amp; events</c:v>
                </c:pt>
                <c:pt idx="8">
                  <c:v>Charity</c:v>
                </c:pt>
                <c:pt idx="9">
                  <c:v>Other</c:v>
                </c:pt>
              </c:strCache>
            </c:strRef>
          </c:cat>
          <c:val>
            <c:numRef>
              <c:f>Budget!$C$6:$C$15</c:f>
              <c:numCache>
                <c:formatCode>\£#,##0.00;"-£"#,##0.00;\-</c:formatCode>
                <c:ptCount val="10"/>
                <c:pt idx="0">
                  <c:v>440</c:v>
                </c:pt>
                <c:pt idx="1">
                  <c:v>150</c:v>
                </c:pt>
                <c:pt idx="2">
                  <c:v>60</c:v>
                </c:pt>
                <c:pt idx="3">
                  <c:v>30</c:v>
                </c:pt>
                <c:pt idx="4">
                  <c:v>15</c:v>
                </c:pt>
                <c:pt idx="5">
                  <c:v>90</c:v>
                </c:pt>
                <c:pt idx="6">
                  <c:v>40</c:v>
                </c:pt>
                <c:pt idx="7">
                  <c:v>40</c:v>
                </c:pt>
                <c:pt idx="8">
                  <c:v>20</c:v>
                </c:pt>
                <c:pt idx="9">
                  <c:v>15</c:v>
                </c:pt>
              </c:numCache>
            </c:numRef>
          </c:val>
        </c:ser>
        <c:ser>
          <c:idx val="1"/>
          <c:order val="1"/>
          <c:tx>
            <c:strRef>
              <c:f>Budget!D5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b326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Budget!$B$6:$B$15</c:f>
              <c:strCache>
                <c:ptCount val="10"/>
                <c:pt idx="0">
                  <c:v>Gifts</c:v>
                </c:pt>
                <c:pt idx="1">
                  <c:v>Food &amp; drink</c:v>
                </c:pt>
                <c:pt idx="2">
                  <c:v>Decorations</c:v>
                </c:pt>
                <c:pt idx="3">
                  <c:v>Cards &amp; postage</c:v>
                </c:pt>
                <c:pt idx="4">
                  <c:v>Wrapping</c:v>
                </c:pt>
                <c:pt idx="5">
                  <c:v>Travel</c:v>
                </c:pt>
                <c:pt idx="6">
                  <c:v>Outfits</c:v>
                </c:pt>
                <c:pt idx="7">
                  <c:v>Parties &amp; events</c:v>
                </c:pt>
                <c:pt idx="8">
                  <c:v>Charity</c:v>
                </c:pt>
                <c:pt idx="9">
                  <c:v>Other</c:v>
                </c:pt>
              </c:strCache>
            </c:strRef>
          </c:cat>
          <c:val>
            <c:numRef>
              <c:f>Budget!$D$6:$D$15</c:f>
              <c:numCache>
                <c:formatCode>\£#,##0.00;"-£"#,##0.00;\-</c:formatCode>
                <c:ptCount val="10"/>
                <c:pt idx="0">
                  <c:v>74.5</c:v>
                </c:pt>
                <c:pt idx="1">
                  <c:v>38</c:v>
                </c:pt>
                <c:pt idx="2">
                  <c:v>65</c:v>
                </c:pt>
                <c:pt idx="3">
                  <c:v>18</c:v>
                </c:pt>
                <c:pt idx="4">
                  <c:v>12.5</c:v>
                </c:pt>
                <c:pt idx="5">
                  <c:v>81.5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3904157"/>
        <c:axId val="77013657"/>
      </c:barChart>
      <c:catAx>
        <c:axId val="139041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13657"/>
        <c:crosses val="autoZero"/>
        <c:auto val="1"/>
        <c:lblAlgn val="ctr"/>
        <c:lblOffset val="100"/>
        <c:noMultiLvlLbl val="0"/>
      </c:catAx>
      <c:valAx>
        <c:axId val="77013657"/>
        <c:scaling>
          <c:orientation val="minMax"/>
        </c:scaling>
        <c:delete val="0"/>
        <c:axPos val="l"/>
        <c:numFmt formatCode="\£#,##0.00;&quot;-£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041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5</xdr:col>
      <xdr:colOff>1248480</xdr:colOff>
      <xdr:row>39</xdr:row>
      <xdr:rowOff>1080</xdr:rowOff>
    </xdr:to>
    <xdr:graphicFrame>
      <xdr:nvGraphicFramePr>
        <xdr:cNvPr id="0" name="Chart 1"/>
        <xdr:cNvGraphicFramePr/>
      </xdr:nvGraphicFramePr>
      <xdr:xfrm>
        <a:off x="211320" y="4371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1F1A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6" hidden="false" customHeight="true" outlineLevel="0" collapsed="false">
      <c r="A1" s="1"/>
      <c r="B1" s="2"/>
      <c r="C1" s="3"/>
    </row>
    <row r="2" customFormat="false" ht="31.5" hidden="false" customHeight="true" outlineLevel="0" collapsed="false">
      <c r="A2" s="4"/>
      <c r="B2" s="5" t="s">
        <v>0</v>
      </c>
      <c r="C2" s="4"/>
    </row>
    <row r="3" customFormat="false" ht="15" hidden="false" customHeight="false" outlineLevel="0" collapsed="false">
      <c r="A3" s="4"/>
      <c r="B3" s="6" t="s">
        <v>1</v>
      </c>
      <c r="C3" s="4"/>
    </row>
    <row r="5" customFormat="false" ht="17.35" hidden="false" customHeight="false" outlineLevel="0" collapsed="false">
      <c r="B5" s="7" t="s">
        <v>2</v>
      </c>
    </row>
    <row r="7" customFormat="false" ht="30" hidden="false" customHeight="true" outlineLevel="0" collapsed="false">
      <c r="B7" s="8" t="s">
        <v>3</v>
      </c>
    </row>
    <row r="8" customFormat="false" ht="30" hidden="false" customHeight="true" outlineLevel="0" collapsed="false">
      <c r="B8" s="8" t="s">
        <v>4</v>
      </c>
    </row>
    <row r="9" customFormat="false" ht="30" hidden="false" customHeight="true" outlineLevel="0" collapsed="false">
      <c r="B9" s="8" t="s">
        <v>5</v>
      </c>
    </row>
    <row r="10" customFormat="false" ht="30" hidden="false" customHeight="true" outlineLevel="0" collapsed="false">
      <c r="B10" s="8" t="s">
        <v>6</v>
      </c>
    </row>
    <row r="11" customFormat="false" ht="30" hidden="false" customHeight="true" outlineLevel="0" collapsed="false">
      <c r="B11" s="8" t="s">
        <v>7</v>
      </c>
    </row>
    <row r="12" customFormat="false" ht="30" hidden="false" customHeight="true" outlineLevel="0" collapsed="false">
      <c r="B12" s="8" t="s">
        <v>8</v>
      </c>
    </row>
    <row r="13" customFormat="false" ht="30" hidden="false" customHeight="true" outlineLevel="0" collapsed="false">
      <c r="B13" s="8" t="s">
        <v>9</v>
      </c>
    </row>
    <row r="14" customFormat="false" ht="30" hidden="false" customHeight="true" outlineLevel="0" collapsed="false">
      <c r="B14" s="8" t="s">
        <v>10</v>
      </c>
    </row>
    <row r="15" customFormat="false" ht="30" hidden="false" customHeight="true" outlineLevel="0" collapsed="false">
      <c r="B15" s="8" t="s">
        <v>11</v>
      </c>
    </row>
    <row r="16" customFormat="false" ht="30" hidden="false" customHeight="true" outlineLevel="0" collapsed="false">
      <c r="B16" s="8" t="s">
        <v>12</v>
      </c>
    </row>
    <row r="18" customFormat="false" ht="17.35" hidden="false" customHeight="false" outlineLevel="0" collapsed="false">
      <c r="B18" s="7" t="s">
        <v>13</v>
      </c>
    </row>
    <row r="19" customFormat="false" ht="15" hidden="false" customHeight="false" outlineLevel="0" collapsed="false">
      <c r="B19" s="9" t="s">
        <v>14</v>
      </c>
    </row>
    <row r="20" customFormat="false" ht="15" hidden="false" customHeight="false" outlineLevel="0" collapsed="false">
      <c r="B20" s="10" t="s">
        <v>15</v>
      </c>
    </row>
    <row r="22" customFormat="false" ht="15" hidden="false" customHeight="false" outlineLevel="0" collapsed="false">
      <c r="B22" s="11" t="s">
        <v>16</v>
      </c>
    </row>
    <row r="23" customFormat="false" ht="15" hidden="false" customHeight="false" outlineLevel="0" collapsed="false">
      <c r="B23" s="1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8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</row>
    <row r="2" customFormat="false" ht="31.5" hidden="false" customHeight="true" outlineLevel="0" collapsed="false">
      <c r="A2" s="4"/>
      <c r="B2" s="5" t="str">
        <f aca="false">IF(C5="","Our",C5&amp;" Family")&amp;" Christmas "&amp;C6</f>
        <v>Smith Family Christmas 2026</v>
      </c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6" t="s">
        <v>18</v>
      </c>
      <c r="C3" s="4"/>
      <c r="D3" s="4"/>
      <c r="E3" s="4"/>
      <c r="F3" s="4"/>
      <c r="G3" s="4"/>
    </row>
    <row r="5" customFormat="false" ht="15" hidden="false" customHeight="false" outlineLevel="0" collapsed="false">
      <c r="B5" s="12" t="s">
        <v>19</v>
      </c>
      <c r="C5" s="13" t="s">
        <v>20</v>
      </c>
    </row>
    <row r="6" customFormat="false" ht="15" hidden="false" customHeight="false" outlineLevel="0" collapsed="false">
      <c r="B6" s="12" t="s">
        <v>21</v>
      </c>
      <c r="C6" s="14" t="n">
        <v>2026</v>
      </c>
    </row>
    <row r="7" customFormat="false" ht="15" hidden="false" customHeight="false" outlineLevel="0" collapsed="false">
      <c r="B7" s="12" t="s">
        <v>22</v>
      </c>
      <c r="C7" s="15" t="n">
        <v>900</v>
      </c>
    </row>
    <row r="9" customFormat="false" ht="36" hidden="false" customHeight="true" outlineLevel="0" collapsed="false">
      <c r="B9" s="12" t="s">
        <v>23</v>
      </c>
      <c r="C9" s="16" t="n">
        <f aca="true">MAX(0,DATE(C6,12,25)-TODAY())</f>
        <v>57</v>
      </c>
    </row>
    <row r="11" customFormat="false" ht="21.75" hidden="false" customHeight="true" outlineLevel="0" collapsed="false">
      <c r="B11" s="17" t="s">
        <v>24</v>
      </c>
      <c r="C11" s="17"/>
      <c r="E11" s="18" t="s">
        <v>25</v>
      </c>
      <c r="F11" s="18"/>
    </row>
    <row r="12" customFormat="false" ht="15" hidden="false" customHeight="false" outlineLevel="0" collapsed="false">
      <c r="B12" s="19" t="s">
        <v>26</v>
      </c>
      <c r="C12" s="20" t="n">
        <f aca="false">C7</f>
        <v>900</v>
      </c>
      <c r="E12" s="19" t="s">
        <v>27</v>
      </c>
      <c r="F12" s="21" t="n">
        <f aca="false">IF(COUNTA('Gift Planner'!B8:B207)=0,0,(COUNTIF('Gift Planner'!H8:H207,"Bought")+COUNTIF('Gift Planner'!H8:H207,"Wrapped")+COUNTIF('Gift Planner'!H8:H207,"Given"))/COUNTA('Gift Planner'!B8:B207))</f>
        <v>0.5</v>
      </c>
    </row>
    <row r="13" customFormat="false" ht="15" hidden="false" customHeight="false" outlineLevel="0" collapsed="false">
      <c r="B13" s="19" t="s">
        <v>28</v>
      </c>
      <c r="C13" s="20" t="n">
        <f aca="false">Budget!D17</f>
        <v>289.5</v>
      </c>
      <c r="E13" s="19" t="s">
        <v>29</v>
      </c>
      <c r="F13" s="21" t="n">
        <f aca="false">IF(COUNTA('Gift Planner'!B8:B207)=0,0,(COUNTIF('Gift Planner'!H8:H207,"Wrapped")+COUNTIF('Gift Planner'!H8:H207,"Given"))/COUNTA('Gift Planner'!B8:B207))</f>
        <v>0.25</v>
      </c>
    </row>
    <row r="14" customFormat="false" ht="15" hidden="false" customHeight="false" outlineLevel="0" collapsed="false">
      <c r="B14" s="19" t="s">
        <v>30</v>
      </c>
      <c r="C14" s="20" t="n">
        <f aca="false">C12-C13</f>
        <v>610.5</v>
      </c>
      <c r="E14" s="19" t="s">
        <v>31</v>
      </c>
      <c r="F14" s="21" t="n">
        <f aca="false">IF(COUNTA('Card List'!B8:B207)=0,0,COUNTIF('Card List'!E8:E207,"✓")/COUNTA('Card List'!B8:B207))</f>
        <v>0.5</v>
      </c>
    </row>
    <row r="15" customFormat="false" ht="15" hidden="false" customHeight="false" outlineLevel="0" collapsed="false">
      <c r="B15" s="19" t="s">
        <v>32</v>
      </c>
      <c r="C15" s="21" t="n">
        <f aca="false">IF(C12=0,0,C13/C12)</f>
        <v>0.321666666666667</v>
      </c>
      <c r="E15" s="19" t="s">
        <v>33</v>
      </c>
      <c r="F15" s="21" t="n">
        <f aca="false">IF(COUNTA('Shopping List'!B8:B157)=0,0,COUNTIF('Shopping List'!H8:H157,"✓")/COUNTA('Shopping List'!B8:B157))</f>
        <v>0.166666666666667</v>
      </c>
    </row>
    <row r="16" customFormat="false" ht="15" hidden="false" customHeight="false" outlineLevel="0" collapsed="false">
      <c r="E16" s="19" t="s">
        <v>34</v>
      </c>
      <c r="F16" s="21" t="n">
        <f aca="false">IF(COUNTA('To-Do List'!B6:B105)=0,0,COUNTIF('To-Do List'!E6:E105,"✓")/COUNTA('To-Do List'!B6:B105))</f>
        <v>0</v>
      </c>
    </row>
    <row r="17" customFormat="false" ht="15" hidden="false" customHeight="false" outlineLevel="0" collapsed="false">
      <c r="E17" s="19" t="s">
        <v>35</v>
      </c>
      <c r="F17" s="21" t="n">
        <f aca="false">IF(COUNTA(Travel!B19:B48)=0,0,COUNTIF(Travel!C19:C48,"✓")/COUNTA(Travel!B19:B48))</f>
        <v>0.2</v>
      </c>
    </row>
    <row r="19" customFormat="false" ht="21.75" hidden="false" customHeight="true" outlineLevel="0" collapsed="false">
      <c r="E19" s="22" t="s">
        <v>36</v>
      </c>
      <c r="F19" s="22"/>
    </row>
    <row r="20" customFormat="false" ht="15" hidden="false" customHeight="false" outlineLevel="0" collapsed="false">
      <c r="E20" s="19" t="s">
        <v>37</v>
      </c>
      <c r="F20" s="23" t="n">
        <f aca="false">COUNTA('Gift Planner'!B8:B207)</f>
        <v>4</v>
      </c>
    </row>
    <row r="21" customFormat="false" ht="15" hidden="false" customHeight="false" outlineLevel="0" collapsed="false">
      <c r="E21" s="19" t="s">
        <v>38</v>
      </c>
      <c r="F21" s="23" t="n">
        <f aca="false">SUMPRODUCT(('Gift Planner'!B8:B207&lt;&gt;"")/COUNTIF('Gift Planner'!B8:B207,'Gift Planner'!B8:B207&amp;""))</f>
        <v>4</v>
      </c>
    </row>
    <row r="22" customFormat="false" ht="15" hidden="false" customHeight="false" outlineLevel="0" collapsed="false">
      <c r="E22" s="19" t="s">
        <v>39</v>
      </c>
      <c r="F22" s="23" t="n">
        <f aca="false">COUNTIF(Dinner!C8:C27,"Yes")</f>
        <v>2</v>
      </c>
    </row>
    <row r="23" customFormat="false" ht="15" hidden="false" customHeight="false" outlineLevel="0" collapsed="false">
      <c r="E23" s="19" t="s">
        <v>40</v>
      </c>
      <c r="F23" s="23" t="n">
        <f aca="false">COUNTA('Secret Santa'!B12:B41)</f>
        <v>6</v>
      </c>
    </row>
  </sheetData>
  <conditionalFormatting sqref="C14">
    <cfRule type="cellIs" priority="2" operator="lessThan" aboveAverage="0" equalAverage="0" bottom="0" percent="0" rank="0" text="" dxfId="0">
      <formula>0</formula>
    </cfRule>
  </conditionalFormatting>
  <conditionalFormatting sqref="C15">
    <cfRule type="dataBar" priority="3">
      <dataBar showValue="1" minLength="10" maxLength="90">
        <cfvo type="num" val="0"/>
        <cfvo type="num" val="1"/>
        <color rgb="FFB3261E"/>
      </dataBar>
      <extLst>
        <ext xmlns:x14="http://schemas.microsoft.com/office/spreadsheetml/2009/9/main" uri="{B025F937-C7B1-47D3-B67F-A62EFF666E3E}">
          <x14:id>{D067C166-72A1-4EEB-B3F5-4ED762345F68}</x14:id>
        </ext>
      </extLst>
    </cfRule>
  </conditionalFormatting>
  <conditionalFormatting sqref="F12:F17">
    <cfRule type="dataBar" priority="4">
      <dataBar showValue="1" minLength="10" maxLength="90">
        <cfvo type="num" val="0"/>
        <cfvo type="num" val="1"/>
        <color rgb="FF1E5631"/>
      </dataBar>
      <extLst>
        <ext xmlns:x14="http://schemas.microsoft.com/office/spreadsheetml/2009/9/main" uri="{B025F937-C7B1-47D3-B67F-A62EFF666E3E}">
          <x14:id>{8F284C39-6267-4A1F-94A5-D5CC153EE454}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67C166-72A1-4EEB-B3F5-4ED762345F6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3261E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8F284C39-6267-4A1F-94A5-D5CC153EE45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E5631"/>
              <x14:axisColor rgb="FF000000"/>
            </x14:dataBar>
          </x14:cfRule>
          <xm:sqref>F12:F17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N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8" min="6" style="0" width="12"/>
    <col collapsed="false" customWidth="true" hidden="false" outlineLevel="0" max="9" min="9" style="0" width="24"/>
    <col collapsed="false" customWidth="true" hidden="false" outlineLevel="0" max="10" min="10" style="0" width="4"/>
    <col collapsed="false" customWidth="true" hidden="false" outlineLevel="0" max="11" min="11" style="0" width="16"/>
    <col collapsed="false" customWidth="true" hidden="false" outlineLevel="0" max="13" min="12" style="0" width="12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  <c r="H1" s="2"/>
      <c r="I1" s="3"/>
      <c r="J1" s="1"/>
      <c r="K1" s="2"/>
      <c r="L1" s="3"/>
      <c r="M1" s="1"/>
      <c r="N1" s="2"/>
    </row>
    <row r="2" customFormat="false" ht="31.5" hidden="false" customHeight="true" outlineLevel="0" collapsed="false">
      <c r="A2" s="4"/>
      <c r="B2" s="5" t="s">
        <v>41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5" hidden="false" customHeight="false" outlineLevel="0" collapsed="false">
      <c r="A3" s="4"/>
      <c r="B3" s="6" t="s">
        <v>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customFormat="false" ht="15" hidden="false" customHeight="false" outlineLevel="0" collapsed="false">
      <c r="B5" s="12" t="s">
        <v>43</v>
      </c>
      <c r="C5" s="24" t="n">
        <f aca="false">SUM(F8:F207)</f>
        <v>105</v>
      </c>
      <c r="D5" s="12" t="s">
        <v>44</v>
      </c>
      <c r="E5" s="24" t="n">
        <f aca="false">SUM(G8:G207)</f>
        <v>74.5</v>
      </c>
    </row>
    <row r="7" customFormat="false" ht="21.75" hidden="false" customHeight="true" outlineLevel="0" collapsed="false">
      <c r="B7" s="17" t="s">
        <v>45</v>
      </c>
      <c r="C7" s="17" t="s">
        <v>46</v>
      </c>
      <c r="D7" s="17" t="s">
        <v>47</v>
      </c>
      <c r="E7" s="17" t="s">
        <v>48</v>
      </c>
      <c r="F7" s="17" t="s">
        <v>49</v>
      </c>
      <c r="G7" s="17" t="s">
        <v>50</v>
      </c>
      <c r="H7" s="17" t="s">
        <v>51</v>
      </c>
      <c r="I7" s="17" t="s">
        <v>52</v>
      </c>
      <c r="K7" s="22" t="s">
        <v>53</v>
      </c>
      <c r="L7" s="22" t="s">
        <v>49</v>
      </c>
      <c r="M7" s="22" t="s">
        <v>44</v>
      </c>
    </row>
    <row r="8" customFormat="false" ht="15" hidden="false" customHeight="false" outlineLevel="0" collapsed="false">
      <c r="B8" s="25" t="s">
        <v>54</v>
      </c>
      <c r="C8" s="13" t="s">
        <v>55</v>
      </c>
      <c r="D8" s="25" t="s">
        <v>56</v>
      </c>
      <c r="E8" s="25" t="s">
        <v>57</v>
      </c>
      <c r="F8" s="26" t="n">
        <v>40</v>
      </c>
      <c r="G8" s="26" t="n">
        <v>36</v>
      </c>
      <c r="H8" s="13" t="s">
        <v>58</v>
      </c>
      <c r="I8" s="25"/>
      <c r="K8" s="19" t="s">
        <v>55</v>
      </c>
      <c r="L8" s="27" t="n">
        <f aca="false">SUMIFS($F$8:$F$207,$C$8:$C$207,K8)</f>
        <v>70</v>
      </c>
      <c r="M8" s="27" t="n">
        <f aca="false">SUMIFS($G$8:$G$207,$C$8:$C$207,K8)</f>
        <v>66</v>
      </c>
    </row>
    <row r="9" customFormat="false" ht="15" hidden="false" customHeight="false" outlineLevel="0" collapsed="false">
      <c r="B9" s="25" t="s">
        <v>59</v>
      </c>
      <c r="C9" s="13" t="s">
        <v>55</v>
      </c>
      <c r="D9" s="25" t="s">
        <v>60</v>
      </c>
      <c r="E9" s="25" t="s">
        <v>61</v>
      </c>
      <c r="F9" s="26" t="n">
        <v>30</v>
      </c>
      <c r="G9" s="26" t="n">
        <v>30</v>
      </c>
      <c r="H9" s="13" t="s">
        <v>62</v>
      </c>
      <c r="I9" s="25"/>
      <c r="K9" s="19" t="s">
        <v>63</v>
      </c>
      <c r="L9" s="27" t="n">
        <f aca="false">SUMIFS($F$8:$F$207,$C$8:$C$207,K9)</f>
        <v>0</v>
      </c>
      <c r="M9" s="27" t="n">
        <f aca="false">SUMIFS($G$8:$G$207,$C$8:$C$207,K9)</f>
        <v>0</v>
      </c>
    </row>
    <row r="10" customFormat="false" ht="15" hidden="false" customHeight="false" outlineLevel="0" collapsed="false">
      <c r="B10" s="25" t="s">
        <v>64</v>
      </c>
      <c r="C10" s="13" t="s">
        <v>65</v>
      </c>
      <c r="D10" s="25" t="s">
        <v>66</v>
      </c>
      <c r="E10" s="25" t="s">
        <v>67</v>
      </c>
      <c r="F10" s="26" t="n">
        <v>25</v>
      </c>
      <c r="G10" s="26"/>
      <c r="H10" s="13" t="s">
        <v>68</v>
      </c>
      <c r="I10" s="25"/>
      <c r="K10" s="19" t="s">
        <v>65</v>
      </c>
      <c r="L10" s="27" t="n">
        <f aca="false">SUMIFS($F$8:$F$207,$C$8:$C$207,K10)</f>
        <v>25</v>
      </c>
      <c r="M10" s="27" t="n">
        <f aca="false">SUMIFS($G$8:$G$207,$C$8:$C$207,K10)</f>
        <v>0</v>
      </c>
    </row>
    <row r="11" customFormat="false" ht="15" hidden="false" customHeight="false" outlineLevel="0" collapsed="false">
      <c r="B11" s="25" t="s">
        <v>69</v>
      </c>
      <c r="C11" s="13" t="s">
        <v>70</v>
      </c>
      <c r="D11" s="25" t="s">
        <v>71</v>
      </c>
      <c r="E11" s="25" t="s">
        <v>72</v>
      </c>
      <c r="F11" s="26" t="n">
        <v>10</v>
      </c>
      <c r="G11" s="26" t="n">
        <v>8.5</v>
      </c>
      <c r="H11" s="13" t="s">
        <v>73</v>
      </c>
      <c r="I11" s="25"/>
      <c r="K11" s="19" t="s">
        <v>70</v>
      </c>
      <c r="L11" s="27" t="n">
        <f aca="false">SUMIFS($F$8:$F$207,$C$8:$C$207,K11)</f>
        <v>10</v>
      </c>
      <c r="M11" s="27" t="n">
        <f aca="false">SUMIFS($G$8:$G$207,$C$8:$C$207,K11)</f>
        <v>8.5</v>
      </c>
    </row>
    <row r="12" customFormat="false" ht="15" hidden="false" customHeight="false" outlineLevel="0" collapsed="false">
      <c r="B12" s="25"/>
      <c r="C12" s="13"/>
      <c r="D12" s="25"/>
      <c r="E12" s="25"/>
      <c r="F12" s="26"/>
      <c r="G12" s="26"/>
      <c r="H12" s="13"/>
      <c r="I12" s="25"/>
      <c r="K12" s="19" t="s">
        <v>74</v>
      </c>
      <c r="L12" s="27" t="n">
        <f aca="false">SUMIFS($F$8:$F$207,$C$8:$C$207,K12)</f>
        <v>0</v>
      </c>
      <c r="M12" s="27" t="n">
        <f aca="false">SUMIFS($G$8:$G$207,$C$8:$C$207,K12)</f>
        <v>0</v>
      </c>
    </row>
    <row r="13" customFormat="false" ht="15" hidden="false" customHeight="false" outlineLevel="0" collapsed="false">
      <c r="B13" s="25"/>
      <c r="C13" s="13"/>
      <c r="D13" s="25"/>
      <c r="E13" s="25"/>
      <c r="F13" s="26"/>
      <c r="G13" s="26"/>
      <c r="H13" s="13"/>
      <c r="I13" s="25"/>
      <c r="K13" s="12" t="s">
        <v>75</v>
      </c>
      <c r="L13" s="24" t="n">
        <f aca="false">SUM(L8:L12)</f>
        <v>105</v>
      </c>
      <c r="M13" s="24" t="n">
        <f aca="false">SUM(M8:M12)</f>
        <v>74.5</v>
      </c>
    </row>
    <row r="14" customFormat="false" ht="15" hidden="false" customHeight="false" outlineLevel="0" collapsed="false">
      <c r="B14" s="25"/>
      <c r="C14" s="13"/>
      <c r="D14" s="25"/>
      <c r="E14" s="25"/>
      <c r="F14" s="26"/>
      <c r="G14" s="26"/>
      <c r="H14" s="13"/>
      <c r="I14" s="25"/>
      <c r="K14" s="11" t="s">
        <v>76</v>
      </c>
    </row>
    <row r="15" customFormat="false" ht="15" hidden="false" customHeight="false" outlineLevel="0" collapsed="false">
      <c r="B15" s="25"/>
      <c r="C15" s="13"/>
      <c r="D15" s="25"/>
      <c r="E15" s="25"/>
      <c r="F15" s="26"/>
      <c r="G15" s="26"/>
      <c r="H15" s="13"/>
      <c r="I15" s="25"/>
    </row>
    <row r="16" customFormat="false" ht="15" hidden="false" customHeight="false" outlineLevel="0" collapsed="false">
      <c r="B16" s="25"/>
      <c r="C16" s="13"/>
      <c r="D16" s="25"/>
      <c r="E16" s="25"/>
      <c r="F16" s="26"/>
      <c r="G16" s="26"/>
      <c r="H16" s="13"/>
      <c r="I16" s="25"/>
    </row>
    <row r="17" customFormat="false" ht="15" hidden="false" customHeight="false" outlineLevel="0" collapsed="false">
      <c r="B17" s="25"/>
      <c r="C17" s="13"/>
      <c r="D17" s="25"/>
      <c r="E17" s="25"/>
      <c r="F17" s="26"/>
      <c r="G17" s="26"/>
      <c r="H17" s="13"/>
      <c r="I17" s="25"/>
    </row>
    <row r="18" customFormat="false" ht="15" hidden="false" customHeight="false" outlineLevel="0" collapsed="false">
      <c r="B18" s="25"/>
      <c r="C18" s="13"/>
      <c r="D18" s="25"/>
      <c r="E18" s="25"/>
      <c r="F18" s="26"/>
      <c r="G18" s="26"/>
      <c r="H18" s="13"/>
      <c r="I18" s="25"/>
    </row>
    <row r="19" customFormat="false" ht="15" hidden="false" customHeight="false" outlineLevel="0" collapsed="false">
      <c r="B19" s="25"/>
      <c r="C19" s="13"/>
      <c r="D19" s="25"/>
      <c r="E19" s="25"/>
      <c r="F19" s="26"/>
      <c r="G19" s="26"/>
      <c r="H19" s="13"/>
      <c r="I19" s="25"/>
    </row>
    <row r="20" customFormat="false" ht="15" hidden="false" customHeight="false" outlineLevel="0" collapsed="false">
      <c r="B20" s="25"/>
      <c r="C20" s="13"/>
      <c r="D20" s="25"/>
      <c r="E20" s="25"/>
      <c r="F20" s="26"/>
      <c r="G20" s="26"/>
      <c r="H20" s="13"/>
      <c r="I20" s="25"/>
    </row>
    <row r="21" customFormat="false" ht="15" hidden="false" customHeight="false" outlineLevel="0" collapsed="false">
      <c r="B21" s="25"/>
      <c r="C21" s="13"/>
      <c r="D21" s="25"/>
      <c r="E21" s="25"/>
      <c r="F21" s="26"/>
      <c r="G21" s="26"/>
      <c r="H21" s="13"/>
      <c r="I21" s="25"/>
    </row>
    <row r="22" customFormat="false" ht="15" hidden="false" customHeight="false" outlineLevel="0" collapsed="false">
      <c r="B22" s="25"/>
      <c r="C22" s="13"/>
      <c r="D22" s="25"/>
      <c r="E22" s="25"/>
      <c r="F22" s="26"/>
      <c r="G22" s="26"/>
      <c r="H22" s="13"/>
      <c r="I22" s="25"/>
    </row>
    <row r="23" customFormat="false" ht="15" hidden="false" customHeight="false" outlineLevel="0" collapsed="false">
      <c r="B23" s="25"/>
      <c r="C23" s="13"/>
      <c r="D23" s="25"/>
      <c r="E23" s="25"/>
      <c r="F23" s="26"/>
      <c r="G23" s="26"/>
      <c r="H23" s="13"/>
      <c r="I23" s="25"/>
    </row>
    <row r="24" customFormat="false" ht="15" hidden="false" customHeight="false" outlineLevel="0" collapsed="false">
      <c r="B24" s="25"/>
      <c r="C24" s="13"/>
      <c r="D24" s="25"/>
      <c r="E24" s="25"/>
      <c r="F24" s="26"/>
      <c r="G24" s="26"/>
      <c r="H24" s="13"/>
      <c r="I24" s="25"/>
    </row>
    <row r="25" customFormat="false" ht="15" hidden="false" customHeight="false" outlineLevel="0" collapsed="false">
      <c r="B25" s="25"/>
      <c r="C25" s="13"/>
      <c r="D25" s="25"/>
      <c r="E25" s="25"/>
      <c r="F25" s="26"/>
      <c r="G25" s="26"/>
      <c r="H25" s="13"/>
      <c r="I25" s="25"/>
    </row>
    <row r="26" customFormat="false" ht="15" hidden="false" customHeight="false" outlineLevel="0" collapsed="false">
      <c r="B26" s="25"/>
      <c r="C26" s="13"/>
      <c r="D26" s="25"/>
      <c r="E26" s="25"/>
      <c r="F26" s="26"/>
      <c r="G26" s="26"/>
      <c r="H26" s="13"/>
      <c r="I26" s="25"/>
    </row>
    <row r="27" customFormat="false" ht="15" hidden="false" customHeight="false" outlineLevel="0" collapsed="false">
      <c r="B27" s="25"/>
      <c r="C27" s="13"/>
      <c r="D27" s="25"/>
      <c r="E27" s="25"/>
      <c r="F27" s="26"/>
      <c r="G27" s="26"/>
      <c r="H27" s="13"/>
      <c r="I27" s="25"/>
    </row>
    <row r="28" customFormat="false" ht="15" hidden="false" customHeight="false" outlineLevel="0" collapsed="false">
      <c r="B28" s="25"/>
      <c r="C28" s="13"/>
      <c r="D28" s="25"/>
      <c r="E28" s="25"/>
      <c r="F28" s="26"/>
      <c r="G28" s="26"/>
      <c r="H28" s="13"/>
      <c r="I28" s="25"/>
    </row>
    <row r="29" customFormat="false" ht="15" hidden="false" customHeight="false" outlineLevel="0" collapsed="false">
      <c r="B29" s="25"/>
      <c r="C29" s="13"/>
      <c r="D29" s="25"/>
      <c r="E29" s="25"/>
      <c r="F29" s="26"/>
      <c r="G29" s="26"/>
      <c r="H29" s="13"/>
      <c r="I29" s="25"/>
    </row>
    <row r="30" customFormat="false" ht="15" hidden="false" customHeight="false" outlineLevel="0" collapsed="false">
      <c r="B30" s="25"/>
      <c r="C30" s="13"/>
      <c r="D30" s="25"/>
      <c r="E30" s="25"/>
      <c r="F30" s="26"/>
      <c r="G30" s="26"/>
      <c r="H30" s="13"/>
      <c r="I30" s="25"/>
    </row>
    <row r="31" customFormat="false" ht="15" hidden="false" customHeight="false" outlineLevel="0" collapsed="false">
      <c r="B31" s="25"/>
      <c r="C31" s="13"/>
      <c r="D31" s="25"/>
      <c r="E31" s="25"/>
      <c r="F31" s="26"/>
      <c r="G31" s="26"/>
      <c r="H31" s="13"/>
      <c r="I31" s="25"/>
    </row>
    <row r="32" customFormat="false" ht="15" hidden="false" customHeight="false" outlineLevel="0" collapsed="false">
      <c r="B32" s="25"/>
      <c r="C32" s="13"/>
      <c r="D32" s="25"/>
      <c r="E32" s="25"/>
      <c r="F32" s="26"/>
      <c r="G32" s="26"/>
      <c r="H32" s="13"/>
      <c r="I32" s="25"/>
    </row>
    <row r="33" customFormat="false" ht="15" hidden="false" customHeight="false" outlineLevel="0" collapsed="false">
      <c r="B33" s="25"/>
      <c r="C33" s="13"/>
      <c r="D33" s="25"/>
      <c r="E33" s="25"/>
      <c r="F33" s="26"/>
      <c r="G33" s="26"/>
      <c r="H33" s="13"/>
      <c r="I33" s="25"/>
    </row>
    <row r="34" customFormat="false" ht="15" hidden="false" customHeight="false" outlineLevel="0" collapsed="false">
      <c r="B34" s="25"/>
      <c r="C34" s="13"/>
      <c r="D34" s="25"/>
      <c r="E34" s="25"/>
      <c r="F34" s="26"/>
      <c r="G34" s="26"/>
      <c r="H34" s="13"/>
      <c r="I34" s="25"/>
    </row>
    <row r="35" customFormat="false" ht="15" hidden="false" customHeight="false" outlineLevel="0" collapsed="false">
      <c r="B35" s="25"/>
      <c r="C35" s="13"/>
      <c r="D35" s="25"/>
      <c r="E35" s="25"/>
      <c r="F35" s="26"/>
      <c r="G35" s="26"/>
      <c r="H35" s="13"/>
      <c r="I35" s="25"/>
    </row>
    <row r="36" customFormat="false" ht="15" hidden="false" customHeight="false" outlineLevel="0" collapsed="false">
      <c r="B36" s="25"/>
      <c r="C36" s="13"/>
      <c r="D36" s="25"/>
      <c r="E36" s="25"/>
      <c r="F36" s="26"/>
      <c r="G36" s="26"/>
      <c r="H36" s="13"/>
      <c r="I36" s="25"/>
    </row>
    <row r="37" customFormat="false" ht="15" hidden="false" customHeight="false" outlineLevel="0" collapsed="false">
      <c r="B37" s="25"/>
      <c r="C37" s="13"/>
      <c r="D37" s="25"/>
      <c r="E37" s="25"/>
      <c r="F37" s="26"/>
      <c r="G37" s="26"/>
      <c r="H37" s="13"/>
      <c r="I37" s="25"/>
    </row>
    <row r="38" customFormat="false" ht="15" hidden="false" customHeight="false" outlineLevel="0" collapsed="false">
      <c r="B38" s="25"/>
      <c r="C38" s="13"/>
      <c r="D38" s="25"/>
      <c r="E38" s="25"/>
      <c r="F38" s="26"/>
      <c r="G38" s="26"/>
      <c r="H38" s="13"/>
      <c r="I38" s="25"/>
    </row>
    <row r="39" customFormat="false" ht="15" hidden="false" customHeight="false" outlineLevel="0" collapsed="false">
      <c r="B39" s="25"/>
      <c r="C39" s="13"/>
      <c r="D39" s="25"/>
      <c r="E39" s="25"/>
      <c r="F39" s="26"/>
      <c r="G39" s="26"/>
      <c r="H39" s="13"/>
      <c r="I39" s="25"/>
    </row>
    <row r="40" customFormat="false" ht="15" hidden="false" customHeight="false" outlineLevel="0" collapsed="false">
      <c r="B40" s="25"/>
      <c r="C40" s="13"/>
      <c r="D40" s="25"/>
      <c r="E40" s="25"/>
      <c r="F40" s="26"/>
      <c r="G40" s="26"/>
      <c r="H40" s="13"/>
      <c r="I40" s="25"/>
    </row>
    <row r="41" customFormat="false" ht="15" hidden="false" customHeight="false" outlineLevel="0" collapsed="false">
      <c r="B41" s="25"/>
      <c r="C41" s="13"/>
      <c r="D41" s="25"/>
      <c r="E41" s="25"/>
      <c r="F41" s="26"/>
      <c r="G41" s="26"/>
      <c r="H41" s="13"/>
      <c r="I41" s="25"/>
    </row>
    <row r="42" customFormat="false" ht="15" hidden="false" customHeight="false" outlineLevel="0" collapsed="false">
      <c r="B42" s="25"/>
      <c r="C42" s="13"/>
      <c r="D42" s="25"/>
      <c r="E42" s="25"/>
      <c r="F42" s="26"/>
      <c r="G42" s="26"/>
      <c r="H42" s="13"/>
      <c r="I42" s="25"/>
    </row>
    <row r="43" customFormat="false" ht="15" hidden="false" customHeight="false" outlineLevel="0" collapsed="false">
      <c r="B43" s="25"/>
      <c r="C43" s="13"/>
      <c r="D43" s="25"/>
      <c r="E43" s="25"/>
      <c r="F43" s="26"/>
      <c r="G43" s="26"/>
      <c r="H43" s="13"/>
      <c r="I43" s="25"/>
    </row>
    <row r="44" customFormat="false" ht="15" hidden="false" customHeight="false" outlineLevel="0" collapsed="false">
      <c r="B44" s="25"/>
      <c r="C44" s="13"/>
      <c r="D44" s="25"/>
      <c r="E44" s="25"/>
      <c r="F44" s="26"/>
      <c r="G44" s="26"/>
      <c r="H44" s="13"/>
      <c r="I44" s="25"/>
    </row>
    <row r="45" customFormat="false" ht="15" hidden="false" customHeight="false" outlineLevel="0" collapsed="false">
      <c r="B45" s="25"/>
      <c r="C45" s="13"/>
      <c r="D45" s="25"/>
      <c r="E45" s="25"/>
      <c r="F45" s="26"/>
      <c r="G45" s="26"/>
      <c r="H45" s="13"/>
      <c r="I45" s="25"/>
    </row>
    <row r="46" customFormat="false" ht="15" hidden="false" customHeight="false" outlineLevel="0" collapsed="false">
      <c r="B46" s="25"/>
      <c r="C46" s="13"/>
      <c r="D46" s="25"/>
      <c r="E46" s="25"/>
      <c r="F46" s="26"/>
      <c r="G46" s="26"/>
      <c r="H46" s="13"/>
      <c r="I46" s="25"/>
    </row>
    <row r="47" customFormat="false" ht="15" hidden="false" customHeight="false" outlineLevel="0" collapsed="false">
      <c r="B47" s="25"/>
      <c r="C47" s="13"/>
      <c r="D47" s="25"/>
      <c r="E47" s="25"/>
      <c r="F47" s="26"/>
      <c r="G47" s="26"/>
      <c r="H47" s="13"/>
      <c r="I47" s="25"/>
    </row>
    <row r="48" customFormat="false" ht="15" hidden="false" customHeight="false" outlineLevel="0" collapsed="false">
      <c r="B48" s="25"/>
      <c r="C48" s="13"/>
      <c r="D48" s="25"/>
      <c r="E48" s="25"/>
      <c r="F48" s="26"/>
      <c r="G48" s="26"/>
      <c r="H48" s="13"/>
      <c r="I48" s="25"/>
    </row>
    <row r="49" customFormat="false" ht="15" hidden="false" customHeight="false" outlineLevel="0" collapsed="false">
      <c r="B49" s="25"/>
      <c r="C49" s="13"/>
      <c r="D49" s="25"/>
      <c r="E49" s="25"/>
      <c r="F49" s="26"/>
      <c r="G49" s="26"/>
      <c r="H49" s="13"/>
      <c r="I49" s="25"/>
    </row>
    <row r="50" customFormat="false" ht="15" hidden="false" customHeight="false" outlineLevel="0" collapsed="false">
      <c r="B50" s="25"/>
      <c r="C50" s="13"/>
      <c r="D50" s="25"/>
      <c r="E50" s="25"/>
      <c r="F50" s="26"/>
      <c r="G50" s="26"/>
      <c r="H50" s="13"/>
      <c r="I50" s="25"/>
    </row>
    <row r="51" customFormat="false" ht="15" hidden="false" customHeight="false" outlineLevel="0" collapsed="false">
      <c r="B51" s="25"/>
      <c r="C51" s="13"/>
      <c r="D51" s="25"/>
      <c r="E51" s="25"/>
      <c r="F51" s="26"/>
      <c r="G51" s="26"/>
      <c r="H51" s="13"/>
      <c r="I51" s="25"/>
    </row>
    <row r="52" customFormat="false" ht="15" hidden="false" customHeight="false" outlineLevel="0" collapsed="false">
      <c r="B52" s="25"/>
      <c r="C52" s="13"/>
      <c r="D52" s="25"/>
      <c r="E52" s="25"/>
      <c r="F52" s="26"/>
      <c r="G52" s="26"/>
      <c r="H52" s="13"/>
      <c r="I52" s="25"/>
    </row>
    <row r="53" customFormat="false" ht="15" hidden="false" customHeight="false" outlineLevel="0" collapsed="false">
      <c r="B53" s="25"/>
      <c r="C53" s="13"/>
      <c r="D53" s="25"/>
      <c r="E53" s="25"/>
      <c r="F53" s="26"/>
      <c r="G53" s="26"/>
      <c r="H53" s="13"/>
      <c r="I53" s="25"/>
    </row>
    <row r="54" customFormat="false" ht="15" hidden="false" customHeight="false" outlineLevel="0" collapsed="false">
      <c r="B54" s="25"/>
      <c r="C54" s="13"/>
      <c r="D54" s="25"/>
      <c r="E54" s="25"/>
      <c r="F54" s="26"/>
      <c r="G54" s="26"/>
      <c r="H54" s="13"/>
      <c r="I54" s="25"/>
    </row>
    <row r="55" customFormat="false" ht="15" hidden="false" customHeight="false" outlineLevel="0" collapsed="false">
      <c r="B55" s="25"/>
      <c r="C55" s="13"/>
      <c r="D55" s="25"/>
      <c r="E55" s="25"/>
      <c r="F55" s="26"/>
      <c r="G55" s="26"/>
      <c r="H55" s="13"/>
      <c r="I55" s="25"/>
    </row>
    <row r="56" customFormat="false" ht="15" hidden="false" customHeight="false" outlineLevel="0" collapsed="false">
      <c r="B56" s="25"/>
      <c r="C56" s="13"/>
      <c r="D56" s="25"/>
      <c r="E56" s="25"/>
      <c r="F56" s="26"/>
      <c r="G56" s="26"/>
      <c r="H56" s="13"/>
      <c r="I56" s="25"/>
    </row>
    <row r="57" customFormat="false" ht="15" hidden="false" customHeight="false" outlineLevel="0" collapsed="false">
      <c r="B57" s="25"/>
      <c r="C57" s="13"/>
      <c r="D57" s="25"/>
      <c r="E57" s="25"/>
      <c r="F57" s="26"/>
      <c r="G57" s="26"/>
      <c r="H57" s="13"/>
      <c r="I57" s="25"/>
    </row>
    <row r="58" customFormat="false" ht="15" hidden="false" customHeight="false" outlineLevel="0" collapsed="false">
      <c r="B58" s="25"/>
      <c r="C58" s="13"/>
      <c r="D58" s="25"/>
      <c r="E58" s="25"/>
      <c r="F58" s="26"/>
      <c r="G58" s="26"/>
      <c r="H58" s="13"/>
      <c r="I58" s="25"/>
    </row>
    <row r="59" customFormat="false" ht="15" hidden="false" customHeight="false" outlineLevel="0" collapsed="false">
      <c r="B59" s="25"/>
      <c r="C59" s="13"/>
      <c r="D59" s="25"/>
      <c r="E59" s="25"/>
      <c r="F59" s="26"/>
      <c r="G59" s="26"/>
      <c r="H59" s="13"/>
      <c r="I59" s="25"/>
    </row>
    <row r="60" customFormat="false" ht="15" hidden="false" customHeight="false" outlineLevel="0" collapsed="false">
      <c r="B60" s="25"/>
      <c r="C60" s="13"/>
      <c r="D60" s="25"/>
      <c r="E60" s="25"/>
      <c r="F60" s="26"/>
      <c r="G60" s="26"/>
      <c r="H60" s="13"/>
      <c r="I60" s="25"/>
    </row>
    <row r="61" customFormat="false" ht="15" hidden="false" customHeight="false" outlineLevel="0" collapsed="false">
      <c r="B61" s="25"/>
      <c r="C61" s="13"/>
      <c r="D61" s="25"/>
      <c r="E61" s="25"/>
      <c r="F61" s="26"/>
      <c r="G61" s="26"/>
      <c r="H61" s="13"/>
      <c r="I61" s="25"/>
    </row>
    <row r="62" customFormat="false" ht="15" hidden="false" customHeight="false" outlineLevel="0" collapsed="false">
      <c r="B62" s="25"/>
      <c r="C62" s="13"/>
      <c r="D62" s="25"/>
      <c r="E62" s="25"/>
      <c r="F62" s="26"/>
      <c r="G62" s="26"/>
      <c r="H62" s="13"/>
      <c r="I62" s="25"/>
    </row>
    <row r="63" customFormat="false" ht="15" hidden="false" customHeight="false" outlineLevel="0" collapsed="false">
      <c r="B63" s="25"/>
      <c r="C63" s="13"/>
      <c r="D63" s="25"/>
      <c r="E63" s="25"/>
      <c r="F63" s="26"/>
      <c r="G63" s="26"/>
      <c r="H63" s="13"/>
      <c r="I63" s="25"/>
    </row>
    <row r="64" customFormat="false" ht="15" hidden="false" customHeight="false" outlineLevel="0" collapsed="false">
      <c r="B64" s="25"/>
      <c r="C64" s="13"/>
      <c r="D64" s="25"/>
      <c r="E64" s="25"/>
      <c r="F64" s="26"/>
      <c r="G64" s="26"/>
      <c r="H64" s="13"/>
      <c r="I64" s="25"/>
    </row>
    <row r="65" customFormat="false" ht="15" hidden="false" customHeight="false" outlineLevel="0" collapsed="false">
      <c r="B65" s="25"/>
      <c r="C65" s="13"/>
      <c r="D65" s="25"/>
      <c r="E65" s="25"/>
      <c r="F65" s="26"/>
      <c r="G65" s="26"/>
      <c r="H65" s="13"/>
      <c r="I65" s="25"/>
    </row>
    <row r="66" customFormat="false" ht="15" hidden="false" customHeight="false" outlineLevel="0" collapsed="false">
      <c r="B66" s="25"/>
      <c r="C66" s="13"/>
      <c r="D66" s="25"/>
      <c r="E66" s="25"/>
      <c r="F66" s="26"/>
      <c r="G66" s="26"/>
      <c r="H66" s="13"/>
      <c r="I66" s="25"/>
    </row>
    <row r="67" customFormat="false" ht="15" hidden="false" customHeight="false" outlineLevel="0" collapsed="false">
      <c r="B67" s="25"/>
      <c r="C67" s="13"/>
      <c r="D67" s="25"/>
      <c r="E67" s="25"/>
      <c r="F67" s="26"/>
      <c r="G67" s="26"/>
      <c r="H67" s="13"/>
      <c r="I67" s="25"/>
    </row>
    <row r="68" customFormat="false" ht="15" hidden="false" customHeight="false" outlineLevel="0" collapsed="false">
      <c r="B68" s="25"/>
      <c r="C68" s="13"/>
      <c r="D68" s="25"/>
      <c r="E68" s="25"/>
      <c r="F68" s="26"/>
      <c r="G68" s="26"/>
      <c r="H68" s="13"/>
      <c r="I68" s="25"/>
    </row>
    <row r="69" customFormat="false" ht="15" hidden="false" customHeight="false" outlineLevel="0" collapsed="false">
      <c r="B69" s="25"/>
      <c r="C69" s="13"/>
      <c r="D69" s="25"/>
      <c r="E69" s="25"/>
      <c r="F69" s="26"/>
      <c r="G69" s="26"/>
      <c r="H69" s="13"/>
      <c r="I69" s="25"/>
    </row>
    <row r="70" customFormat="false" ht="15" hidden="false" customHeight="false" outlineLevel="0" collapsed="false">
      <c r="B70" s="25"/>
      <c r="C70" s="13"/>
      <c r="D70" s="25"/>
      <c r="E70" s="25"/>
      <c r="F70" s="26"/>
      <c r="G70" s="26"/>
      <c r="H70" s="13"/>
      <c r="I70" s="25"/>
    </row>
    <row r="71" customFormat="false" ht="15" hidden="false" customHeight="false" outlineLevel="0" collapsed="false">
      <c r="B71" s="25"/>
      <c r="C71" s="13"/>
      <c r="D71" s="25"/>
      <c r="E71" s="25"/>
      <c r="F71" s="26"/>
      <c r="G71" s="26"/>
      <c r="H71" s="13"/>
      <c r="I71" s="25"/>
    </row>
    <row r="72" customFormat="false" ht="15" hidden="false" customHeight="false" outlineLevel="0" collapsed="false">
      <c r="B72" s="25"/>
      <c r="C72" s="13"/>
      <c r="D72" s="25"/>
      <c r="E72" s="25"/>
      <c r="F72" s="26"/>
      <c r="G72" s="26"/>
      <c r="H72" s="13"/>
      <c r="I72" s="25"/>
    </row>
    <row r="73" customFormat="false" ht="15" hidden="false" customHeight="false" outlineLevel="0" collapsed="false">
      <c r="B73" s="25"/>
      <c r="C73" s="13"/>
      <c r="D73" s="25"/>
      <c r="E73" s="25"/>
      <c r="F73" s="26"/>
      <c r="G73" s="26"/>
      <c r="H73" s="13"/>
      <c r="I73" s="25"/>
    </row>
    <row r="74" customFormat="false" ht="15" hidden="false" customHeight="false" outlineLevel="0" collapsed="false">
      <c r="B74" s="25"/>
      <c r="C74" s="13"/>
      <c r="D74" s="25"/>
      <c r="E74" s="25"/>
      <c r="F74" s="26"/>
      <c r="G74" s="26"/>
      <c r="H74" s="13"/>
      <c r="I74" s="25"/>
    </row>
    <row r="75" customFormat="false" ht="15" hidden="false" customHeight="false" outlineLevel="0" collapsed="false">
      <c r="B75" s="25"/>
      <c r="C75" s="13"/>
      <c r="D75" s="25"/>
      <c r="E75" s="25"/>
      <c r="F75" s="26"/>
      <c r="G75" s="26"/>
      <c r="H75" s="13"/>
      <c r="I75" s="25"/>
    </row>
    <row r="76" customFormat="false" ht="15" hidden="false" customHeight="false" outlineLevel="0" collapsed="false">
      <c r="B76" s="25"/>
      <c r="C76" s="13"/>
      <c r="D76" s="25"/>
      <c r="E76" s="25"/>
      <c r="F76" s="26"/>
      <c r="G76" s="26"/>
      <c r="H76" s="13"/>
      <c r="I76" s="25"/>
    </row>
    <row r="77" customFormat="false" ht="15" hidden="false" customHeight="false" outlineLevel="0" collapsed="false">
      <c r="B77" s="25"/>
      <c r="C77" s="13"/>
      <c r="D77" s="25"/>
      <c r="E77" s="25"/>
      <c r="F77" s="26"/>
      <c r="G77" s="26"/>
      <c r="H77" s="13"/>
      <c r="I77" s="25"/>
    </row>
    <row r="78" customFormat="false" ht="15" hidden="false" customHeight="false" outlineLevel="0" collapsed="false">
      <c r="B78" s="25"/>
      <c r="C78" s="13"/>
      <c r="D78" s="25"/>
      <c r="E78" s="25"/>
      <c r="F78" s="26"/>
      <c r="G78" s="26"/>
      <c r="H78" s="13"/>
      <c r="I78" s="25"/>
    </row>
    <row r="79" customFormat="false" ht="15" hidden="false" customHeight="false" outlineLevel="0" collapsed="false">
      <c r="B79" s="25"/>
      <c r="C79" s="13"/>
      <c r="D79" s="25"/>
      <c r="E79" s="25"/>
      <c r="F79" s="26"/>
      <c r="G79" s="26"/>
      <c r="H79" s="13"/>
      <c r="I79" s="25"/>
    </row>
    <row r="80" customFormat="false" ht="15" hidden="false" customHeight="false" outlineLevel="0" collapsed="false">
      <c r="B80" s="25"/>
      <c r="C80" s="13"/>
      <c r="D80" s="25"/>
      <c r="E80" s="25"/>
      <c r="F80" s="26"/>
      <c r="G80" s="26"/>
      <c r="H80" s="13"/>
      <c r="I80" s="25"/>
    </row>
    <row r="81" customFormat="false" ht="15" hidden="false" customHeight="false" outlineLevel="0" collapsed="false">
      <c r="B81" s="25"/>
      <c r="C81" s="13"/>
      <c r="D81" s="25"/>
      <c r="E81" s="25"/>
      <c r="F81" s="26"/>
      <c r="G81" s="26"/>
      <c r="H81" s="13"/>
      <c r="I81" s="25"/>
    </row>
    <row r="82" customFormat="false" ht="15" hidden="false" customHeight="false" outlineLevel="0" collapsed="false">
      <c r="B82" s="25"/>
      <c r="C82" s="13"/>
      <c r="D82" s="25"/>
      <c r="E82" s="25"/>
      <c r="F82" s="26"/>
      <c r="G82" s="26"/>
      <c r="H82" s="13"/>
      <c r="I82" s="25"/>
    </row>
    <row r="83" customFormat="false" ht="15" hidden="false" customHeight="false" outlineLevel="0" collapsed="false">
      <c r="B83" s="25"/>
      <c r="C83" s="13"/>
      <c r="D83" s="25"/>
      <c r="E83" s="25"/>
      <c r="F83" s="26"/>
      <c r="G83" s="26"/>
      <c r="H83" s="13"/>
      <c r="I83" s="25"/>
    </row>
    <row r="84" customFormat="false" ht="15" hidden="false" customHeight="false" outlineLevel="0" collapsed="false">
      <c r="B84" s="25"/>
      <c r="C84" s="13"/>
      <c r="D84" s="25"/>
      <c r="E84" s="25"/>
      <c r="F84" s="26"/>
      <c r="G84" s="26"/>
      <c r="H84" s="13"/>
      <c r="I84" s="25"/>
    </row>
    <row r="85" customFormat="false" ht="15" hidden="false" customHeight="false" outlineLevel="0" collapsed="false">
      <c r="B85" s="25"/>
      <c r="C85" s="13"/>
      <c r="D85" s="25"/>
      <c r="E85" s="25"/>
      <c r="F85" s="26"/>
      <c r="G85" s="26"/>
      <c r="H85" s="13"/>
      <c r="I85" s="25"/>
    </row>
    <row r="86" customFormat="false" ht="15" hidden="false" customHeight="false" outlineLevel="0" collapsed="false">
      <c r="B86" s="25"/>
      <c r="C86" s="13"/>
      <c r="D86" s="25"/>
      <c r="E86" s="25"/>
      <c r="F86" s="26"/>
      <c r="G86" s="26"/>
      <c r="H86" s="13"/>
      <c r="I86" s="25"/>
    </row>
    <row r="87" customFormat="false" ht="15" hidden="false" customHeight="false" outlineLevel="0" collapsed="false">
      <c r="B87" s="25"/>
      <c r="C87" s="13"/>
      <c r="D87" s="25"/>
      <c r="E87" s="25"/>
      <c r="F87" s="26"/>
      <c r="G87" s="26"/>
      <c r="H87" s="13"/>
      <c r="I87" s="25"/>
    </row>
    <row r="88" customFormat="false" ht="15" hidden="false" customHeight="false" outlineLevel="0" collapsed="false">
      <c r="B88" s="25"/>
      <c r="C88" s="13"/>
      <c r="D88" s="25"/>
      <c r="E88" s="25"/>
      <c r="F88" s="26"/>
      <c r="G88" s="26"/>
      <c r="H88" s="13"/>
      <c r="I88" s="25"/>
    </row>
    <row r="89" customFormat="false" ht="15" hidden="false" customHeight="false" outlineLevel="0" collapsed="false">
      <c r="B89" s="25"/>
      <c r="C89" s="13"/>
      <c r="D89" s="25"/>
      <c r="E89" s="25"/>
      <c r="F89" s="26"/>
      <c r="G89" s="26"/>
      <c r="H89" s="13"/>
      <c r="I89" s="25"/>
    </row>
    <row r="90" customFormat="false" ht="15" hidden="false" customHeight="false" outlineLevel="0" collapsed="false">
      <c r="B90" s="25"/>
      <c r="C90" s="13"/>
      <c r="D90" s="25"/>
      <c r="E90" s="25"/>
      <c r="F90" s="26"/>
      <c r="G90" s="26"/>
      <c r="H90" s="13"/>
      <c r="I90" s="25"/>
    </row>
    <row r="91" customFormat="false" ht="15" hidden="false" customHeight="false" outlineLevel="0" collapsed="false">
      <c r="B91" s="25"/>
      <c r="C91" s="13"/>
      <c r="D91" s="25"/>
      <c r="E91" s="25"/>
      <c r="F91" s="26"/>
      <c r="G91" s="26"/>
      <c r="H91" s="13"/>
      <c r="I91" s="25"/>
    </row>
    <row r="92" customFormat="false" ht="15" hidden="false" customHeight="false" outlineLevel="0" collapsed="false">
      <c r="B92" s="25"/>
      <c r="C92" s="13"/>
      <c r="D92" s="25"/>
      <c r="E92" s="25"/>
      <c r="F92" s="26"/>
      <c r="G92" s="26"/>
      <c r="H92" s="13"/>
      <c r="I92" s="25"/>
    </row>
    <row r="93" customFormat="false" ht="15" hidden="false" customHeight="false" outlineLevel="0" collapsed="false">
      <c r="B93" s="25"/>
      <c r="C93" s="13"/>
      <c r="D93" s="25"/>
      <c r="E93" s="25"/>
      <c r="F93" s="26"/>
      <c r="G93" s="26"/>
      <c r="H93" s="13"/>
      <c r="I93" s="25"/>
    </row>
    <row r="94" customFormat="false" ht="15" hidden="false" customHeight="false" outlineLevel="0" collapsed="false">
      <c r="B94" s="25"/>
      <c r="C94" s="13"/>
      <c r="D94" s="25"/>
      <c r="E94" s="25"/>
      <c r="F94" s="26"/>
      <c r="G94" s="26"/>
      <c r="H94" s="13"/>
      <c r="I94" s="25"/>
    </row>
    <row r="95" customFormat="false" ht="15" hidden="false" customHeight="false" outlineLevel="0" collapsed="false">
      <c r="B95" s="25"/>
      <c r="C95" s="13"/>
      <c r="D95" s="25"/>
      <c r="E95" s="25"/>
      <c r="F95" s="26"/>
      <c r="G95" s="26"/>
      <c r="H95" s="13"/>
      <c r="I95" s="25"/>
    </row>
    <row r="96" customFormat="false" ht="15" hidden="false" customHeight="false" outlineLevel="0" collapsed="false">
      <c r="B96" s="25"/>
      <c r="C96" s="13"/>
      <c r="D96" s="25"/>
      <c r="E96" s="25"/>
      <c r="F96" s="26"/>
      <c r="G96" s="26"/>
      <c r="H96" s="13"/>
      <c r="I96" s="25"/>
    </row>
    <row r="97" customFormat="false" ht="15" hidden="false" customHeight="false" outlineLevel="0" collapsed="false">
      <c r="B97" s="25"/>
      <c r="C97" s="13"/>
      <c r="D97" s="25"/>
      <c r="E97" s="25"/>
      <c r="F97" s="26"/>
      <c r="G97" s="26"/>
      <c r="H97" s="13"/>
      <c r="I97" s="25"/>
    </row>
    <row r="98" customFormat="false" ht="15" hidden="false" customHeight="false" outlineLevel="0" collapsed="false">
      <c r="B98" s="25"/>
      <c r="C98" s="13"/>
      <c r="D98" s="25"/>
      <c r="E98" s="25"/>
      <c r="F98" s="26"/>
      <c r="G98" s="26"/>
      <c r="H98" s="13"/>
      <c r="I98" s="25"/>
    </row>
    <row r="99" customFormat="false" ht="15" hidden="false" customHeight="false" outlineLevel="0" collapsed="false">
      <c r="B99" s="25"/>
      <c r="C99" s="13"/>
      <c r="D99" s="25"/>
      <c r="E99" s="25"/>
      <c r="F99" s="26"/>
      <c r="G99" s="26"/>
      <c r="H99" s="13"/>
      <c r="I99" s="25"/>
    </row>
    <row r="100" customFormat="false" ht="15" hidden="false" customHeight="false" outlineLevel="0" collapsed="false">
      <c r="B100" s="25"/>
      <c r="C100" s="13"/>
      <c r="D100" s="25"/>
      <c r="E100" s="25"/>
      <c r="F100" s="26"/>
      <c r="G100" s="26"/>
      <c r="H100" s="13"/>
      <c r="I100" s="25"/>
    </row>
    <row r="101" customFormat="false" ht="15" hidden="false" customHeight="false" outlineLevel="0" collapsed="false">
      <c r="B101" s="25"/>
      <c r="C101" s="13"/>
      <c r="D101" s="25"/>
      <c r="E101" s="25"/>
      <c r="F101" s="26"/>
      <c r="G101" s="26"/>
      <c r="H101" s="13"/>
      <c r="I101" s="25"/>
    </row>
    <row r="102" customFormat="false" ht="15" hidden="false" customHeight="false" outlineLevel="0" collapsed="false">
      <c r="B102" s="25"/>
      <c r="C102" s="13"/>
      <c r="D102" s="25"/>
      <c r="E102" s="25"/>
      <c r="F102" s="26"/>
      <c r="G102" s="26"/>
      <c r="H102" s="13"/>
      <c r="I102" s="25"/>
    </row>
    <row r="103" customFormat="false" ht="15" hidden="false" customHeight="false" outlineLevel="0" collapsed="false">
      <c r="B103" s="25"/>
      <c r="C103" s="13"/>
      <c r="D103" s="25"/>
      <c r="E103" s="25"/>
      <c r="F103" s="26"/>
      <c r="G103" s="26"/>
      <c r="H103" s="13"/>
      <c r="I103" s="25"/>
    </row>
    <row r="104" customFormat="false" ht="15" hidden="false" customHeight="false" outlineLevel="0" collapsed="false">
      <c r="B104" s="25"/>
      <c r="C104" s="13"/>
      <c r="D104" s="25"/>
      <c r="E104" s="25"/>
      <c r="F104" s="26"/>
      <c r="G104" s="26"/>
      <c r="H104" s="13"/>
      <c r="I104" s="25"/>
    </row>
    <row r="105" customFormat="false" ht="15" hidden="false" customHeight="false" outlineLevel="0" collapsed="false">
      <c r="B105" s="25"/>
      <c r="C105" s="13"/>
      <c r="D105" s="25"/>
      <c r="E105" s="25"/>
      <c r="F105" s="26"/>
      <c r="G105" s="26"/>
      <c r="H105" s="13"/>
      <c r="I105" s="25"/>
    </row>
    <row r="106" customFormat="false" ht="15" hidden="false" customHeight="false" outlineLevel="0" collapsed="false">
      <c r="B106" s="25"/>
      <c r="C106" s="13"/>
      <c r="D106" s="25"/>
      <c r="E106" s="25"/>
      <c r="F106" s="26"/>
      <c r="G106" s="26"/>
      <c r="H106" s="13"/>
      <c r="I106" s="25"/>
    </row>
    <row r="107" customFormat="false" ht="15" hidden="false" customHeight="false" outlineLevel="0" collapsed="false">
      <c r="B107" s="25"/>
      <c r="C107" s="13"/>
      <c r="D107" s="25"/>
      <c r="E107" s="25"/>
      <c r="F107" s="26"/>
      <c r="G107" s="26"/>
      <c r="H107" s="13"/>
      <c r="I107" s="25"/>
    </row>
    <row r="108" customFormat="false" ht="15" hidden="false" customHeight="false" outlineLevel="0" collapsed="false">
      <c r="B108" s="25"/>
      <c r="C108" s="13"/>
      <c r="D108" s="25"/>
      <c r="E108" s="25"/>
      <c r="F108" s="26"/>
      <c r="G108" s="26"/>
      <c r="H108" s="13"/>
      <c r="I108" s="25"/>
    </row>
    <row r="109" customFormat="false" ht="15" hidden="false" customHeight="false" outlineLevel="0" collapsed="false">
      <c r="B109" s="25"/>
      <c r="C109" s="13"/>
      <c r="D109" s="25"/>
      <c r="E109" s="25"/>
      <c r="F109" s="26"/>
      <c r="G109" s="26"/>
      <c r="H109" s="13"/>
      <c r="I109" s="25"/>
    </row>
    <row r="110" customFormat="false" ht="15" hidden="false" customHeight="false" outlineLevel="0" collapsed="false">
      <c r="B110" s="25"/>
      <c r="C110" s="13"/>
      <c r="D110" s="25"/>
      <c r="E110" s="25"/>
      <c r="F110" s="26"/>
      <c r="G110" s="26"/>
      <c r="H110" s="13"/>
      <c r="I110" s="25"/>
    </row>
    <row r="111" customFormat="false" ht="15" hidden="false" customHeight="false" outlineLevel="0" collapsed="false">
      <c r="B111" s="25"/>
      <c r="C111" s="13"/>
      <c r="D111" s="25"/>
      <c r="E111" s="25"/>
      <c r="F111" s="26"/>
      <c r="G111" s="26"/>
      <c r="H111" s="13"/>
      <c r="I111" s="25"/>
    </row>
    <row r="112" customFormat="false" ht="15" hidden="false" customHeight="false" outlineLevel="0" collapsed="false">
      <c r="B112" s="25"/>
      <c r="C112" s="13"/>
      <c r="D112" s="25"/>
      <c r="E112" s="25"/>
      <c r="F112" s="26"/>
      <c r="G112" s="26"/>
      <c r="H112" s="13"/>
      <c r="I112" s="25"/>
    </row>
    <row r="113" customFormat="false" ht="15" hidden="false" customHeight="false" outlineLevel="0" collapsed="false">
      <c r="B113" s="25"/>
      <c r="C113" s="13"/>
      <c r="D113" s="25"/>
      <c r="E113" s="25"/>
      <c r="F113" s="26"/>
      <c r="G113" s="26"/>
      <c r="H113" s="13"/>
      <c r="I113" s="25"/>
    </row>
    <row r="114" customFormat="false" ht="15" hidden="false" customHeight="false" outlineLevel="0" collapsed="false">
      <c r="B114" s="25"/>
      <c r="C114" s="13"/>
      <c r="D114" s="25"/>
      <c r="E114" s="25"/>
      <c r="F114" s="26"/>
      <c r="G114" s="26"/>
      <c r="H114" s="13"/>
      <c r="I114" s="25"/>
    </row>
    <row r="115" customFormat="false" ht="15" hidden="false" customHeight="false" outlineLevel="0" collapsed="false">
      <c r="B115" s="25"/>
      <c r="C115" s="13"/>
      <c r="D115" s="25"/>
      <c r="E115" s="25"/>
      <c r="F115" s="26"/>
      <c r="G115" s="26"/>
      <c r="H115" s="13"/>
      <c r="I115" s="25"/>
    </row>
    <row r="116" customFormat="false" ht="15" hidden="false" customHeight="false" outlineLevel="0" collapsed="false">
      <c r="B116" s="25"/>
      <c r="C116" s="13"/>
      <c r="D116" s="25"/>
      <c r="E116" s="25"/>
      <c r="F116" s="26"/>
      <c r="G116" s="26"/>
      <c r="H116" s="13"/>
      <c r="I116" s="25"/>
    </row>
    <row r="117" customFormat="false" ht="15" hidden="false" customHeight="false" outlineLevel="0" collapsed="false">
      <c r="B117" s="25"/>
      <c r="C117" s="13"/>
      <c r="D117" s="25"/>
      <c r="E117" s="25"/>
      <c r="F117" s="26"/>
      <c r="G117" s="26"/>
      <c r="H117" s="13"/>
      <c r="I117" s="25"/>
    </row>
    <row r="118" customFormat="false" ht="15" hidden="false" customHeight="false" outlineLevel="0" collapsed="false">
      <c r="B118" s="25"/>
      <c r="C118" s="13"/>
      <c r="D118" s="25"/>
      <c r="E118" s="25"/>
      <c r="F118" s="26"/>
      <c r="G118" s="26"/>
      <c r="H118" s="13"/>
      <c r="I118" s="25"/>
    </row>
    <row r="119" customFormat="false" ht="15" hidden="false" customHeight="false" outlineLevel="0" collapsed="false">
      <c r="B119" s="25"/>
      <c r="C119" s="13"/>
      <c r="D119" s="25"/>
      <c r="E119" s="25"/>
      <c r="F119" s="26"/>
      <c r="G119" s="26"/>
      <c r="H119" s="13"/>
      <c r="I119" s="25"/>
    </row>
    <row r="120" customFormat="false" ht="15" hidden="false" customHeight="false" outlineLevel="0" collapsed="false">
      <c r="B120" s="25"/>
      <c r="C120" s="13"/>
      <c r="D120" s="25"/>
      <c r="E120" s="25"/>
      <c r="F120" s="26"/>
      <c r="G120" s="26"/>
      <c r="H120" s="13"/>
      <c r="I120" s="25"/>
    </row>
    <row r="121" customFormat="false" ht="15" hidden="false" customHeight="false" outlineLevel="0" collapsed="false">
      <c r="B121" s="25"/>
      <c r="C121" s="13"/>
      <c r="D121" s="25"/>
      <c r="E121" s="25"/>
      <c r="F121" s="26"/>
      <c r="G121" s="26"/>
      <c r="H121" s="13"/>
      <c r="I121" s="25"/>
    </row>
    <row r="122" customFormat="false" ht="15" hidden="false" customHeight="false" outlineLevel="0" collapsed="false">
      <c r="B122" s="25"/>
      <c r="C122" s="13"/>
      <c r="D122" s="25"/>
      <c r="E122" s="25"/>
      <c r="F122" s="26"/>
      <c r="G122" s="26"/>
      <c r="H122" s="13"/>
      <c r="I122" s="25"/>
    </row>
    <row r="123" customFormat="false" ht="15" hidden="false" customHeight="false" outlineLevel="0" collapsed="false">
      <c r="B123" s="25"/>
      <c r="C123" s="13"/>
      <c r="D123" s="25"/>
      <c r="E123" s="25"/>
      <c r="F123" s="26"/>
      <c r="G123" s="26"/>
      <c r="H123" s="13"/>
      <c r="I123" s="25"/>
    </row>
    <row r="124" customFormat="false" ht="15" hidden="false" customHeight="false" outlineLevel="0" collapsed="false">
      <c r="B124" s="25"/>
      <c r="C124" s="13"/>
      <c r="D124" s="25"/>
      <c r="E124" s="25"/>
      <c r="F124" s="26"/>
      <c r="G124" s="26"/>
      <c r="H124" s="13"/>
      <c r="I124" s="25"/>
    </row>
    <row r="125" customFormat="false" ht="15" hidden="false" customHeight="false" outlineLevel="0" collapsed="false">
      <c r="B125" s="25"/>
      <c r="C125" s="13"/>
      <c r="D125" s="25"/>
      <c r="E125" s="25"/>
      <c r="F125" s="26"/>
      <c r="G125" s="26"/>
      <c r="H125" s="13"/>
      <c r="I125" s="25"/>
    </row>
    <row r="126" customFormat="false" ht="15" hidden="false" customHeight="false" outlineLevel="0" collapsed="false">
      <c r="B126" s="25"/>
      <c r="C126" s="13"/>
      <c r="D126" s="25"/>
      <c r="E126" s="25"/>
      <c r="F126" s="26"/>
      <c r="G126" s="26"/>
      <c r="H126" s="13"/>
      <c r="I126" s="25"/>
    </row>
    <row r="127" customFormat="false" ht="15" hidden="false" customHeight="false" outlineLevel="0" collapsed="false">
      <c r="B127" s="25"/>
      <c r="C127" s="13"/>
      <c r="D127" s="25"/>
      <c r="E127" s="25"/>
      <c r="F127" s="26"/>
      <c r="G127" s="26"/>
      <c r="H127" s="13"/>
      <c r="I127" s="25"/>
    </row>
    <row r="128" customFormat="false" ht="15" hidden="false" customHeight="false" outlineLevel="0" collapsed="false">
      <c r="B128" s="25"/>
      <c r="C128" s="13"/>
      <c r="D128" s="25"/>
      <c r="E128" s="25"/>
      <c r="F128" s="26"/>
      <c r="G128" s="26"/>
      <c r="H128" s="13"/>
      <c r="I128" s="25"/>
    </row>
    <row r="129" customFormat="false" ht="15" hidden="false" customHeight="false" outlineLevel="0" collapsed="false">
      <c r="B129" s="25"/>
      <c r="C129" s="13"/>
      <c r="D129" s="25"/>
      <c r="E129" s="25"/>
      <c r="F129" s="26"/>
      <c r="G129" s="26"/>
      <c r="H129" s="13"/>
      <c r="I129" s="25"/>
    </row>
    <row r="130" customFormat="false" ht="15" hidden="false" customHeight="false" outlineLevel="0" collapsed="false">
      <c r="B130" s="25"/>
      <c r="C130" s="13"/>
      <c r="D130" s="25"/>
      <c r="E130" s="25"/>
      <c r="F130" s="26"/>
      <c r="G130" s="26"/>
      <c r="H130" s="13"/>
      <c r="I130" s="25"/>
    </row>
    <row r="131" customFormat="false" ht="15" hidden="false" customHeight="false" outlineLevel="0" collapsed="false">
      <c r="B131" s="25"/>
      <c r="C131" s="13"/>
      <c r="D131" s="25"/>
      <c r="E131" s="25"/>
      <c r="F131" s="26"/>
      <c r="G131" s="26"/>
      <c r="H131" s="13"/>
      <c r="I131" s="25"/>
    </row>
    <row r="132" customFormat="false" ht="15" hidden="false" customHeight="false" outlineLevel="0" collapsed="false">
      <c r="B132" s="25"/>
      <c r="C132" s="13"/>
      <c r="D132" s="25"/>
      <c r="E132" s="25"/>
      <c r="F132" s="26"/>
      <c r="G132" s="26"/>
      <c r="H132" s="13"/>
      <c r="I132" s="25"/>
    </row>
    <row r="133" customFormat="false" ht="15" hidden="false" customHeight="false" outlineLevel="0" collapsed="false">
      <c r="B133" s="25"/>
      <c r="C133" s="13"/>
      <c r="D133" s="25"/>
      <c r="E133" s="25"/>
      <c r="F133" s="26"/>
      <c r="G133" s="26"/>
      <c r="H133" s="13"/>
      <c r="I133" s="25"/>
    </row>
    <row r="134" customFormat="false" ht="15" hidden="false" customHeight="false" outlineLevel="0" collapsed="false">
      <c r="B134" s="25"/>
      <c r="C134" s="13"/>
      <c r="D134" s="25"/>
      <c r="E134" s="25"/>
      <c r="F134" s="26"/>
      <c r="G134" s="26"/>
      <c r="H134" s="13"/>
      <c r="I134" s="25"/>
    </row>
    <row r="135" customFormat="false" ht="15" hidden="false" customHeight="false" outlineLevel="0" collapsed="false">
      <c r="B135" s="25"/>
      <c r="C135" s="13"/>
      <c r="D135" s="25"/>
      <c r="E135" s="25"/>
      <c r="F135" s="26"/>
      <c r="G135" s="26"/>
      <c r="H135" s="13"/>
      <c r="I135" s="25"/>
    </row>
    <row r="136" customFormat="false" ht="15" hidden="false" customHeight="false" outlineLevel="0" collapsed="false">
      <c r="B136" s="25"/>
      <c r="C136" s="13"/>
      <c r="D136" s="25"/>
      <c r="E136" s="25"/>
      <c r="F136" s="26"/>
      <c r="G136" s="26"/>
      <c r="H136" s="13"/>
      <c r="I136" s="25"/>
    </row>
    <row r="137" customFormat="false" ht="15" hidden="false" customHeight="false" outlineLevel="0" collapsed="false">
      <c r="B137" s="25"/>
      <c r="C137" s="13"/>
      <c r="D137" s="25"/>
      <c r="E137" s="25"/>
      <c r="F137" s="26"/>
      <c r="G137" s="26"/>
      <c r="H137" s="13"/>
      <c r="I137" s="25"/>
    </row>
    <row r="138" customFormat="false" ht="15" hidden="false" customHeight="false" outlineLevel="0" collapsed="false">
      <c r="B138" s="25"/>
      <c r="C138" s="13"/>
      <c r="D138" s="25"/>
      <c r="E138" s="25"/>
      <c r="F138" s="26"/>
      <c r="G138" s="26"/>
      <c r="H138" s="13"/>
      <c r="I138" s="25"/>
    </row>
    <row r="139" customFormat="false" ht="15" hidden="false" customHeight="false" outlineLevel="0" collapsed="false">
      <c r="B139" s="25"/>
      <c r="C139" s="13"/>
      <c r="D139" s="25"/>
      <c r="E139" s="25"/>
      <c r="F139" s="26"/>
      <c r="G139" s="26"/>
      <c r="H139" s="13"/>
      <c r="I139" s="25"/>
    </row>
    <row r="140" customFormat="false" ht="15" hidden="false" customHeight="false" outlineLevel="0" collapsed="false">
      <c r="B140" s="25"/>
      <c r="C140" s="13"/>
      <c r="D140" s="25"/>
      <c r="E140" s="25"/>
      <c r="F140" s="26"/>
      <c r="G140" s="26"/>
      <c r="H140" s="13"/>
      <c r="I140" s="25"/>
    </row>
    <row r="141" customFormat="false" ht="15" hidden="false" customHeight="false" outlineLevel="0" collapsed="false">
      <c r="B141" s="25"/>
      <c r="C141" s="13"/>
      <c r="D141" s="25"/>
      <c r="E141" s="25"/>
      <c r="F141" s="26"/>
      <c r="G141" s="26"/>
      <c r="H141" s="13"/>
      <c r="I141" s="25"/>
    </row>
    <row r="142" customFormat="false" ht="15" hidden="false" customHeight="false" outlineLevel="0" collapsed="false">
      <c r="B142" s="25"/>
      <c r="C142" s="13"/>
      <c r="D142" s="25"/>
      <c r="E142" s="25"/>
      <c r="F142" s="26"/>
      <c r="G142" s="26"/>
      <c r="H142" s="13"/>
      <c r="I142" s="25"/>
    </row>
    <row r="143" customFormat="false" ht="15" hidden="false" customHeight="false" outlineLevel="0" collapsed="false">
      <c r="B143" s="25"/>
      <c r="C143" s="13"/>
      <c r="D143" s="25"/>
      <c r="E143" s="25"/>
      <c r="F143" s="26"/>
      <c r="G143" s="26"/>
      <c r="H143" s="13"/>
      <c r="I143" s="25"/>
    </row>
    <row r="144" customFormat="false" ht="15" hidden="false" customHeight="false" outlineLevel="0" collapsed="false">
      <c r="B144" s="25"/>
      <c r="C144" s="13"/>
      <c r="D144" s="25"/>
      <c r="E144" s="25"/>
      <c r="F144" s="26"/>
      <c r="G144" s="26"/>
      <c r="H144" s="13"/>
      <c r="I144" s="25"/>
    </row>
    <row r="145" customFormat="false" ht="15" hidden="false" customHeight="false" outlineLevel="0" collapsed="false">
      <c r="B145" s="25"/>
      <c r="C145" s="13"/>
      <c r="D145" s="25"/>
      <c r="E145" s="25"/>
      <c r="F145" s="26"/>
      <c r="G145" s="26"/>
      <c r="H145" s="13"/>
      <c r="I145" s="25"/>
    </row>
    <row r="146" customFormat="false" ht="15" hidden="false" customHeight="false" outlineLevel="0" collapsed="false">
      <c r="B146" s="25"/>
      <c r="C146" s="13"/>
      <c r="D146" s="25"/>
      <c r="E146" s="25"/>
      <c r="F146" s="26"/>
      <c r="G146" s="26"/>
      <c r="H146" s="13"/>
      <c r="I146" s="25"/>
    </row>
    <row r="147" customFormat="false" ht="15" hidden="false" customHeight="false" outlineLevel="0" collapsed="false">
      <c r="B147" s="25"/>
      <c r="C147" s="13"/>
      <c r="D147" s="25"/>
      <c r="E147" s="25"/>
      <c r="F147" s="26"/>
      <c r="G147" s="26"/>
      <c r="H147" s="13"/>
      <c r="I147" s="25"/>
    </row>
    <row r="148" customFormat="false" ht="15" hidden="false" customHeight="false" outlineLevel="0" collapsed="false">
      <c r="B148" s="25"/>
      <c r="C148" s="13"/>
      <c r="D148" s="25"/>
      <c r="E148" s="25"/>
      <c r="F148" s="26"/>
      <c r="G148" s="26"/>
      <c r="H148" s="13"/>
      <c r="I148" s="25"/>
    </row>
    <row r="149" customFormat="false" ht="15" hidden="false" customHeight="false" outlineLevel="0" collapsed="false">
      <c r="B149" s="25"/>
      <c r="C149" s="13"/>
      <c r="D149" s="25"/>
      <c r="E149" s="25"/>
      <c r="F149" s="26"/>
      <c r="G149" s="26"/>
      <c r="H149" s="13"/>
      <c r="I149" s="25"/>
    </row>
    <row r="150" customFormat="false" ht="15" hidden="false" customHeight="false" outlineLevel="0" collapsed="false">
      <c r="B150" s="25"/>
      <c r="C150" s="13"/>
      <c r="D150" s="25"/>
      <c r="E150" s="25"/>
      <c r="F150" s="26"/>
      <c r="G150" s="26"/>
      <c r="H150" s="13"/>
      <c r="I150" s="25"/>
    </row>
    <row r="151" customFormat="false" ht="15" hidden="false" customHeight="false" outlineLevel="0" collapsed="false">
      <c r="B151" s="25"/>
      <c r="C151" s="13"/>
      <c r="D151" s="25"/>
      <c r="E151" s="25"/>
      <c r="F151" s="26"/>
      <c r="G151" s="26"/>
      <c r="H151" s="13"/>
      <c r="I151" s="25"/>
    </row>
    <row r="152" customFormat="false" ht="15" hidden="false" customHeight="false" outlineLevel="0" collapsed="false">
      <c r="B152" s="25"/>
      <c r="C152" s="13"/>
      <c r="D152" s="25"/>
      <c r="E152" s="25"/>
      <c r="F152" s="26"/>
      <c r="G152" s="26"/>
      <c r="H152" s="13"/>
      <c r="I152" s="25"/>
    </row>
    <row r="153" customFormat="false" ht="15" hidden="false" customHeight="false" outlineLevel="0" collapsed="false">
      <c r="B153" s="25"/>
      <c r="C153" s="13"/>
      <c r="D153" s="25"/>
      <c r="E153" s="25"/>
      <c r="F153" s="26"/>
      <c r="G153" s="26"/>
      <c r="H153" s="13"/>
      <c r="I153" s="25"/>
    </row>
    <row r="154" customFormat="false" ht="15" hidden="false" customHeight="false" outlineLevel="0" collapsed="false">
      <c r="B154" s="25"/>
      <c r="C154" s="13"/>
      <c r="D154" s="25"/>
      <c r="E154" s="25"/>
      <c r="F154" s="26"/>
      <c r="G154" s="26"/>
      <c r="H154" s="13"/>
      <c r="I154" s="25"/>
    </row>
    <row r="155" customFormat="false" ht="15" hidden="false" customHeight="false" outlineLevel="0" collapsed="false">
      <c r="B155" s="25"/>
      <c r="C155" s="13"/>
      <c r="D155" s="25"/>
      <c r="E155" s="25"/>
      <c r="F155" s="26"/>
      <c r="G155" s="26"/>
      <c r="H155" s="13"/>
      <c r="I155" s="25"/>
    </row>
    <row r="156" customFormat="false" ht="15" hidden="false" customHeight="false" outlineLevel="0" collapsed="false">
      <c r="B156" s="25"/>
      <c r="C156" s="13"/>
      <c r="D156" s="25"/>
      <c r="E156" s="25"/>
      <c r="F156" s="26"/>
      <c r="G156" s="26"/>
      <c r="H156" s="13"/>
      <c r="I156" s="25"/>
    </row>
    <row r="157" customFormat="false" ht="15" hidden="false" customHeight="false" outlineLevel="0" collapsed="false">
      <c r="B157" s="25"/>
      <c r="C157" s="13"/>
      <c r="D157" s="25"/>
      <c r="E157" s="25"/>
      <c r="F157" s="26"/>
      <c r="G157" s="26"/>
      <c r="H157" s="13"/>
      <c r="I157" s="25"/>
    </row>
    <row r="158" customFormat="false" ht="15" hidden="false" customHeight="false" outlineLevel="0" collapsed="false">
      <c r="B158" s="25"/>
      <c r="C158" s="13"/>
      <c r="D158" s="25"/>
      <c r="E158" s="25"/>
      <c r="F158" s="26"/>
      <c r="G158" s="26"/>
      <c r="H158" s="13"/>
      <c r="I158" s="25"/>
    </row>
    <row r="159" customFormat="false" ht="15" hidden="false" customHeight="false" outlineLevel="0" collapsed="false">
      <c r="B159" s="25"/>
      <c r="C159" s="13"/>
      <c r="D159" s="25"/>
      <c r="E159" s="25"/>
      <c r="F159" s="26"/>
      <c r="G159" s="26"/>
      <c r="H159" s="13"/>
      <c r="I159" s="25"/>
    </row>
    <row r="160" customFormat="false" ht="15" hidden="false" customHeight="false" outlineLevel="0" collapsed="false">
      <c r="B160" s="25"/>
      <c r="C160" s="13"/>
      <c r="D160" s="25"/>
      <c r="E160" s="25"/>
      <c r="F160" s="26"/>
      <c r="G160" s="26"/>
      <c r="H160" s="13"/>
      <c r="I160" s="25"/>
    </row>
    <row r="161" customFormat="false" ht="15" hidden="false" customHeight="false" outlineLevel="0" collapsed="false">
      <c r="B161" s="25"/>
      <c r="C161" s="13"/>
      <c r="D161" s="25"/>
      <c r="E161" s="25"/>
      <c r="F161" s="26"/>
      <c r="G161" s="26"/>
      <c r="H161" s="13"/>
      <c r="I161" s="25"/>
    </row>
    <row r="162" customFormat="false" ht="15" hidden="false" customHeight="false" outlineLevel="0" collapsed="false">
      <c r="B162" s="25"/>
      <c r="C162" s="13"/>
      <c r="D162" s="25"/>
      <c r="E162" s="25"/>
      <c r="F162" s="26"/>
      <c r="G162" s="26"/>
      <c r="H162" s="13"/>
      <c r="I162" s="25"/>
    </row>
    <row r="163" customFormat="false" ht="15" hidden="false" customHeight="false" outlineLevel="0" collapsed="false">
      <c r="B163" s="25"/>
      <c r="C163" s="13"/>
      <c r="D163" s="25"/>
      <c r="E163" s="25"/>
      <c r="F163" s="26"/>
      <c r="G163" s="26"/>
      <c r="H163" s="13"/>
      <c r="I163" s="25"/>
    </row>
    <row r="164" customFormat="false" ht="15" hidden="false" customHeight="false" outlineLevel="0" collapsed="false">
      <c r="B164" s="25"/>
      <c r="C164" s="13"/>
      <c r="D164" s="25"/>
      <c r="E164" s="25"/>
      <c r="F164" s="26"/>
      <c r="G164" s="26"/>
      <c r="H164" s="13"/>
      <c r="I164" s="25"/>
    </row>
    <row r="165" customFormat="false" ht="15" hidden="false" customHeight="false" outlineLevel="0" collapsed="false">
      <c r="B165" s="25"/>
      <c r="C165" s="13"/>
      <c r="D165" s="25"/>
      <c r="E165" s="25"/>
      <c r="F165" s="26"/>
      <c r="G165" s="26"/>
      <c r="H165" s="13"/>
      <c r="I165" s="25"/>
    </row>
    <row r="166" customFormat="false" ht="15" hidden="false" customHeight="false" outlineLevel="0" collapsed="false">
      <c r="B166" s="25"/>
      <c r="C166" s="13"/>
      <c r="D166" s="25"/>
      <c r="E166" s="25"/>
      <c r="F166" s="26"/>
      <c r="G166" s="26"/>
      <c r="H166" s="13"/>
      <c r="I166" s="25"/>
    </row>
    <row r="167" customFormat="false" ht="15" hidden="false" customHeight="false" outlineLevel="0" collapsed="false">
      <c r="B167" s="25"/>
      <c r="C167" s="13"/>
      <c r="D167" s="25"/>
      <c r="E167" s="25"/>
      <c r="F167" s="26"/>
      <c r="G167" s="26"/>
      <c r="H167" s="13"/>
      <c r="I167" s="25"/>
    </row>
    <row r="168" customFormat="false" ht="15" hidden="false" customHeight="false" outlineLevel="0" collapsed="false">
      <c r="B168" s="25"/>
      <c r="C168" s="13"/>
      <c r="D168" s="25"/>
      <c r="E168" s="25"/>
      <c r="F168" s="26"/>
      <c r="G168" s="26"/>
      <c r="H168" s="13"/>
      <c r="I168" s="25"/>
    </row>
    <row r="169" customFormat="false" ht="15" hidden="false" customHeight="false" outlineLevel="0" collapsed="false">
      <c r="B169" s="25"/>
      <c r="C169" s="13"/>
      <c r="D169" s="25"/>
      <c r="E169" s="25"/>
      <c r="F169" s="26"/>
      <c r="G169" s="26"/>
      <c r="H169" s="13"/>
      <c r="I169" s="25"/>
    </row>
    <row r="170" customFormat="false" ht="15" hidden="false" customHeight="false" outlineLevel="0" collapsed="false">
      <c r="B170" s="25"/>
      <c r="C170" s="13"/>
      <c r="D170" s="25"/>
      <c r="E170" s="25"/>
      <c r="F170" s="26"/>
      <c r="G170" s="26"/>
      <c r="H170" s="13"/>
      <c r="I170" s="25"/>
    </row>
    <row r="171" customFormat="false" ht="15" hidden="false" customHeight="false" outlineLevel="0" collapsed="false">
      <c r="B171" s="25"/>
      <c r="C171" s="13"/>
      <c r="D171" s="25"/>
      <c r="E171" s="25"/>
      <c r="F171" s="26"/>
      <c r="G171" s="26"/>
      <c r="H171" s="13"/>
      <c r="I171" s="25"/>
    </row>
    <row r="172" customFormat="false" ht="15" hidden="false" customHeight="false" outlineLevel="0" collapsed="false">
      <c r="B172" s="25"/>
      <c r="C172" s="13"/>
      <c r="D172" s="25"/>
      <c r="E172" s="25"/>
      <c r="F172" s="26"/>
      <c r="G172" s="26"/>
      <c r="H172" s="13"/>
      <c r="I172" s="25"/>
    </row>
    <row r="173" customFormat="false" ht="15" hidden="false" customHeight="false" outlineLevel="0" collapsed="false">
      <c r="B173" s="25"/>
      <c r="C173" s="13"/>
      <c r="D173" s="25"/>
      <c r="E173" s="25"/>
      <c r="F173" s="26"/>
      <c r="G173" s="26"/>
      <c r="H173" s="13"/>
      <c r="I173" s="25"/>
    </row>
    <row r="174" customFormat="false" ht="15" hidden="false" customHeight="false" outlineLevel="0" collapsed="false">
      <c r="B174" s="25"/>
      <c r="C174" s="13"/>
      <c r="D174" s="25"/>
      <c r="E174" s="25"/>
      <c r="F174" s="26"/>
      <c r="G174" s="26"/>
      <c r="H174" s="13"/>
      <c r="I174" s="25"/>
    </row>
    <row r="175" customFormat="false" ht="15" hidden="false" customHeight="false" outlineLevel="0" collapsed="false">
      <c r="B175" s="25"/>
      <c r="C175" s="13"/>
      <c r="D175" s="25"/>
      <c r="E175" s="25"/>
      <c r="F175" s="26"/>
      <c r="G175" s="26"/>
      <c r="H175" s="13"/>
      <c r="I175" s="25"/>
    </row>
    <row r="176" customFormat="false" ht="15" hidden="false" customHeight="false" outlineLevel="0" collapsed="false">
      <c r="B176" s="25"/>
      <c r="C176" s="13"/>
      <c r="D176" s="25"/>
      <c r="E176" s="25"/>
      <c r="F176" s="26"/>
      <c r="G176" s="26"/>
      <c r="H176" s="13"/>
      <c r="I176" s="25"/>
    </row>
    <row r="177" customFormat="false" ht="15" hidden="false" customHeight="false" outlineLevel="0" collapsed="false">
      <c r="B177" s="25"/>
      <c r="C177" s="13"/>
      <c r="D177" s="25"/>
      <c r="E177" s="25"/>
      <c r="F177" s="26"/>
      <c r="G177" s="26"/>
      <c r="H177" s="13"/>
      <c r="I177" s="25"/>
    </row>
    <row r="178" customFormat="false" ht="15" hidden="false" customHeight="false" outlineLevel="0" collapsed="false">
      <c r="B178" s="25"/>
      <c r="C178" s="13"/>
      <c r="D178" s="25"/>
      <c r="E178" s="25"/>
      <c r="F178" s="26"/>
      <c r="G178" s="26"/>
      <c r="H178" s="13"/>
      <c r="I178" s="25"/>
    </row>
    <row r="179" customFormat="false" ht="15" hidden="false" customHeight="false" outlineLevel="0" collapsed="false">
      <c r="B179" s="25"/>
      <c r="C179" s="13"/>
      <c r="D179" s="25"/>
      <c r="E179" s="25"/>
      <c r="F179" s="26"/>
      <c r="G179" s="26"/>
      <c r="H179" s="13"/>
      <c r="I179" s="25"/>
    </row>
    <row r="180" customFormat="false" ht="15" hidden="false" customHeight="false" outlineLevel="0" collapsed="false">
      <c r="B180" s="25"/>
      <c r="C180" s="13"/>
      <c r="D180" s="25"/>
      <c r="E180" s="25"/>
      <c r="F180" s="26"/>
      <c r="G180" s="26"/>
      <c r="H180" s="13"/>
      <c r="I180" s="25"/>
    </row>
    <row r="181" customFormat="false" ht="15" hidden="false" customHeight="false" outlineLevel="0" collapsed="false">
      <c r="B181" s="25"/>
      <c r="C181" s="13"/>
      <c r="D181" s="25"/>
      <c r="E181" s="25"/>
      <c r="F181" s="26"/>
      <c r="G181" s="26"/>
      <c r="H181" s="13"/>
      <c r="I181" s="25"/>
    </row>
    <row r="182" customFormat="false" ht="15" hidden="false" customHeight="false" outlineLevel="0" collapsed="false">
      <c r="B182" s="25"/>
      <c r="C182" s="13"/>
      <c r="D182" s="25"/>
      <c r="E182" s="25"/>
      <c r="F182" s="26"/>
      <c r="G182" s="26"/>
      <c r="H182" s="13"/>
      <c r="I182" s="25"/>
    </row>
    <row r="183" customFormat="false" ht="15" hidden="false" customHeight="false" outlineLevel="0" collapsed="false">
      <c r="B183" s="25"/>
      <c r="C183" s="13"/>
      <c r="D183" s="25"/>
      <c r="E183" s="25"/>
      <c r="F183" s="26"/>
      <c r="G183" s="26"/>
      <c r="H183" s="13"/>
      <c r="I183" s="25"/>
    </row>
    <row r="184" customFormat="false" ht="15" hidden="false" customHeight="false" outlineLevel="0" collapsed="false">
      <c r="B184" s="25"/>
      <c r="C184" s="13"/>
      <c r="D184" s="25"/>
      <c r="E184" s="25"/>
      <c r="F184" s="26"/>
      <c r="G184" s="26"/>
      <c r="H184" s="13"/>
      <c r="I184" s="25"/>
    </row>
    <row r="185" customFormat="false" ht="15" hidden="false" customHeight="false" outlineLevel="0" collapsed="false">
      <c r="B185" s="25"/>
      <c r="C185" s="13"/>
      <c r="D185" s="25"/>
      <c r="E185" s="25"/>
      <c r="F185" s="26"/>
      <c r="G185" s="26"/>
      <c r="H185" s="13"/>
      <c r="I185" s="25"/>
    </row>
    <row r="186" customFormat="false" ht="15" hidden="false" customHeight="false" outlineLevel="0" collapsed="false">
      <c r="B186" s="25"/>
      <c r="C186" s="13"/>
      <c r="D186" s="25"/>
      <c r="E186" s="25"/>
      <c r="F186" s="26"/>
      <c r="G186" s="26"/>
      <c r="H186" s="13"/>
      <c r="I186" s="25"/>
    </row>
    <row r="187" customFormat="false" ht="15" hidden="false" customHeight="false" outlineLevel="0" collapsed="false">
      <c r="B187" s="25"/>
      <c r="C187" s="13"/>
      <c r="D187" s="25"/>
      <c r="E187" s="25"/>
      <c r="F187" s="26"/>
      <c r="G187" s="26"/>
      <c r="H187" s="13"/>
      <c r="I187" s="25"/>
    </row>
    <row r="188" customFormat="false" ht="15" hidden="false" customHeight="false" outlineLevel="0" collapsed="false">
      <c r="B188" s="25"/>
      <c r="C188" s="13"/>
      <c r="D188" s="25"/>
      <c r="E188" s="25"/>
      <c r="F188" s="26"/>
      <c r="G188" s="26"/>
      <c r="H188" s="13"/>
      <c r="I188" s="25"/>
    </row>
    <row r="189" customFormat="false" ht="15" hidden="false" customHeight="false" outlineLevel="0" collapsed="false">
      <c r="B189" s="25"/>
      <c r="C189" s="13"/>
      <c r="D189" s="25"/>
      <c r="E189" s="25"/>
      <c r="F189" s="26"/>
      <c r="G189" s="26"/>
      <c r="H189" s="13"/>
      <c r="I189" s="25"/>
    </row>
    <row r="190" customFormat="false" ht="15" hidden="false" customHeight="false" outlineLevel="0" collapsed="false">
      <c r="B190" s="25"/>
      <c r="C190" s="13"/>
      <c r="D190" s="25"/>
      <c r="E190" s="25"/>
      <c r="F190" s="26"/>
      <c r="G190" s="26"/>
      <c r="H190" s="13"/>
      <c r="I190" s="25"/>
    </row>
    <row r="191" customFormat="false" ht="15" hidden="false" customHeight="false" outlineLevel="0" collapsed="false">
      <c r="B191" s="25"/>
      <c r="C191" s="13"/>
      <c r="D191" s="25"/>
      <c r="E191" s="25"/>
      <c r="F191" s="26"/>
      <c r="G191" s="26"/>
      <c r="H191" s="13"/>
      <c r="I191" s="25"/>
    </row>
    <row r="192" customFormat="false" ht="15" hidden="false" customHeight="false" outlineLevel="0" collapsed="false">
      <c r="B192" s="25"/>
      <c r="C192" s="13"/>
      <c r="D192" s="25"/>
      <c r="E192" s="25"/>
      <c r="F192" s="26"/>
      <c r="G192" s="26"/>
      <c r="H192" s="13"/>
      <c r="I192" s="25"/>
    </row>
    <row r="193" customFormat="false" ht="15" hidden="false" customHeight="false" outlineLevel="0" collapsed="false">
      <c r="B193" s="25"/>
      <c r="C193" s="13"/>
      <c r="D193" s="25"/>
      <c r="E193" s="25"/>
      <c r="F193" s="26"/>
      <c r="G193" s="26"/>
      <c r="H193" s="13"/>
      <c r="I193" s="25"/>
    </row>
    <row r="194" customFormat="false" ht="15" hidden="false" customHeight="false" outlineLevel="0" collapsed="false">
      <c r="B194" s="25"/>
      <c r="C194" s="13"/>
      <c r="D194" s="25"/>
      <c r="E194" s="25"/>
      <c r="F194" s="26"/>
      <c r="G194" s="26"/>
      <c r="H194" s="13"/>
      <c r="I194" s="25"/>
    </row>
    <row r="195" customFormat="false" ht="15" hidden="false" customHeight="false" outlineLevel="0" collapsed="false">
      <c r="B195" s="25"/>
      <c r="C195" s="13"/>
      <c r="D195" s="25"/>
      <c r="E195" s="25"/>
      <c r="F195" s="26"/>
      <c r="G195" s="26"/>
      <c r="H195" s="13"/>
      <c r="I195" s="25"/>
    </row>
    <row r="196" customFormat="false" ht="15" hidden="false" customHeight="false" outlineLevel="0" collapsed="false">
      <c r="B196" s="25"/>
      <c r="C196" s="13"/>
      <c r="D196" s="25"/>
      <c r="E196" s="25"/>
      <c r="F196" s="26"/>
      <c r="G196" s="26"/>
      <c r="H196" s="13"/>
      <c r="I196" s="25"/>
    </row>
    <row r="197" customFormat="false" ht="15" hidden="false" customHeight="false" outlineLevel="0" collapsed="false">
      <c r="B197" s="25"/>
      <c r="C197" s="13"/>
      <c r="D197" s="25"/>
      <c r="E197" s="25"/>
      <c r="F197" s="26"/>
      <c r="G197" s="26"/>
      <c r="H197" s="13"/>
      <c r="I197" s="25"/>
    </row>
    <row r="198" customFormat="false" ht="15" hidden="false" customHeight="false" outlineLevel="0" collapsed="false">
      <c r="B198" s="25"/>
      <c r="C198" s="13"/>
      <c r="D198" s="25"/>
      <c r="E198" s="25"/>
      <c r="F198" s="26"/>
      <c r="G198" s="26"/>
      <c r="H198" s="13"/>
      <c r="I198" s="25"/>
    </row>
    <row r="199" customFormat="false" ht="15" hidden="false" customHeight="false" outlineLevel="0" collapsed="false">
      <c r="B199" s="25"/>
      <c r="C199" s="13"/>
      <c r="D199" s="25"/>
      <c r="E199" s="25"/>
      <c r="F199" s="26"/>
      <c r="G199" s="26"/>
      <c r="H199" s="13"/>
      <c r="I199" s="25"/>
    </row>
    <row r="200" customFormat="false" ht="15" hidden="false" customHeight="false" outlineLevel="0" collapsed="false">
      <c r="B200" s="25"/>
      <c r="C200" s="13"/>
      <c r="D200" s="25"/>
      <c r="E200" s="25"/>
      <c r="F200" s="26"/>
      <c r="G200" s="26"/>
      <c r="H200" s="13"/>
      <c r="I200" s="25"/>
    </row>
    <row r="201" customFormat="false" ht="15" hidden="false" customHeight="false" outlineLevel="0" collapsed="false">
      <c r="B201" s="25"/>
      <c r="C201" s="13"/>
      <c r="D201" s="25"/>
      <c r="E201" s="25"/>
      <c r="F201" s="26"/>
      <c r="G201" s="26"/>
      <c r="H201" s="13"/>
      <c r="I201" s="25"/>
    </row>
    <row r="202" customFormat="false" ht="15" hidden="false" customHeight="false" outlineLevel="0" collapsed="false">
      <c r="B202" s="25"/>
      <c r="C202" s="13"/>
      <c r="D202" s="25"/>
      <c r="E202" s="25"/>
      <c r="F202" s="26"/>
      <c r="G202" s="26"/>
      <c r="H202" s="13"/>
      <c r="I202" s="25"/>
    </row>
    <row r="203" customFormat="false" ht="15" hidden="false" customHeight="false" outlineLevel="0" collapsed="false">
      <c r="B203" s="25"/>
      <c r="C203" s="13"/>
      <c r="D203" s="25"/>
      <c r="E203" s="25"/>
      <c r="F203" s="26"/>
      <c r="G203" s="26"/>
      <c r="H203" s="13"/>
      <c r="I203" s="25"/>
    </row>
    <row r="204" customFormat="false" ht="15" hidden="false" customHeight="false" outlineLevel="0" collapsed="false">
      <c r="B204" s="25"/>
      <c r="C204" s="13"/>
      <c r="D204" s="25"/>
      <c r="E204" s="25"/>
      <c r="F204" s="26"/>
      <c r="G204" s="26"/>
      <c r="H204" s="13"/>
      <c r="I204" s="25"/>
    </row>
    <row r="205" customFormat="false" ht="15" hidden="false" customHeight="false" outlineLevel="0" collapsed="false">
      <c r="B205" s="25"/>
      <c r="C205" s="13"/>
      <c r="D205" s="25"/>
      <c r="E205" s="25"/>
      <c r="F205" s="26"/>
      <c r="G205" s="26"/>
      <c r="H205" s="13"/>
      <c r="I205" s="25"/>
    </row>
    <row r="206" customFormat="false" ht="15" hidden="false" customHeight="false" outlineLevel="0" collapsed="false">
      <c r="B206" s="25"/>
      <c r="C206" s="13"/>
      <c r="D206" s="25"/>
      <c r="E206" s="25"/>
      <c r="F206" s="26"/>
      <c r="G206" s="26"/>
      <c r="H206" s="13"/>
      <c r="I206" s="25"/>
    </row>
    <row r="207" customFormat="false" ht="15" hidden="false" customHeight="false" outlineLevel="0" collapsed="false">
      <c r="B207" s="25"/>
      <c r="C207" s="13"/>
      <c r="D207" s="25"/>
      <c r="E207" s="25"/>
      <c r="F207" s="26"/>
      <c r="G207" s="26"/>
      <c r="H207" s="13"/>
      <c r="I207" s="25"/>
    </row>
  </sheetData>
  <conditionalFormatting sqref="H8:H207">
    <cfRule type="cellIs" priority="2" operator="equal" aboveAverage="0" equalAverage="0" bottom="0" percent="0" rank="0" text="" dxfId="1">
      <formula>"Idea"</formula>
    </cfRule>
    <cfRule type="cellIs" priority="3" operator="equal" aboveAverage="0" equalAverage="0" bottom="0" percent="0" rank="0" text="" dxfId="2">
      <formula>"Ordered"</formula>
    </cfRule>
    <cfRule type="cellIs" priority="4" operator="equal" aboveAverage="0" equalAverage="0" bottom="0" percent="0" rank="0" text="" dxfId="3">
      <formula>"Bought"</formula>
    </cfRule>
    <cfRule type="cellIs" priority="5" operator="equal" aboveAverage="0" equalAverage="0" bottom="0" percent="0" rank="0" text="" dxfId="4">
      <formula>"Wrapped"</formula>
    </cfRule>
    <cfRule type="cellIs" priority="6" operator="equal" aboveAverage="0" equalAverage="0" bottom="0" percent="0" rank="0" text="" dxfId="5">
      <formula>"Given"</formula>
    </cfRule>
  </conditionalFormatting>
  <conditionalFormatting sqref="G8:G207">
    <cfRule type="expression" priority="7" aboveAverage="0" equalAverage="0" bottom="0" percent="0" rank="0" text="" dxfId="0">
      <formula>AND(G8&lt;&gt;"",F8&lt;&gt;"",G8&gt;F8)</formula>
    </cfRule>
  </conditionalFormatting>
  <dataValidations count="2">
    <dataValidation allowBlank="true" errorStyle="stop" operator="between" showDropDown="false" showErrorMessage="false" showInputMessage="false" sqref="C8:C207" type="list">
      <formula1>"Family,Friends,Kids,Work,Other"</formula1>
      <formula2>0</formula2>
    </dataValidation>
    <dataValidation allowBlank="true" errorStyle="stop" operator="between" showDropDown="false" showErrorMessage="false" showInputMessage="false" sqref="H8:H207" type="list">
      <formula1>"Idea,Ordered,Bought,Wrapped,Given"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</row>
    <row r="2" customFormat="false" ht="31.5" hidden="false" customHeight="true" outlineLevel="0" collapsed="false">
      <c r="A2" s="4"/>
      <c r="B2" s="5" t="s">
        <v>77</v>
      </c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6" t="s">
        <v>78</v>
      </c>
      <c r="C3" s="4"/>
      <c r="D3" s="4"/>
      <c r="E3" s="4"/>
      <c r="F3" s="4"/>
      <c r="G3" s="4"/>
    </row>
    <row r="5" customFormat="false" ht="21.75" hidden="false" customHeight="true" outlineLevel="0" collapsed="false">
      <c r="B5" s="17" t="s">
        <v>79</v>
      </c>
      <c r="C5" s="17" t="s">
        <v>49</v>
      </c>
      <c r="D5" s="17" t="s">
        <v>44</v>
      </c>
      <c r="E5" s="17" t="s">
        <v>80</v>
      </c>
      <c r="F5" s="17" t="s">
        <v>81</v>
      </c>
    </row>
    <row r="6" customFormat="false" ht="15" hidden="false" customHeight="false" outlineLevel="0" collapsed="false">
      <c r="B6" s="19" t="s">
        <v>82</v>
      </c>
      <c r="C6" s="26" t="n">
        <v>440</v>
      </c>
      <c r="D6" s="27" t="n">
        <f aca="false">SUM('Gift Planner'!$G$8:$G$207)+SUMIFS('Spending Log'!$E$6:$E$205,'Spending Log'!$D$6:$D$205,B6)</f>
        <v>74.5</v>
      </c>
      <c r="E6" s="27" t="n">
        <f aca="false">C6-D6</f>
        <v>365.5</v>
      </c>
      <c r="F6" s="28" t="s">
        <v>83</v>
      </c>
    </row>
    <row r="7" customFormat="false" ht="15" hidden="false" customHeight="false" outlineLevel="0" collapsed="false">
      <c r="B7" s="19" t="s">
        <v>84</v>
      </c>
      <c r="C7" s="26" t="n">
        <v>150</v>
      </c>
      <c r="D7" s="27" t="n">
        <f aca="false">SUM('Shopping List'!$G$8:$G$157)+SUMIFS('Spending Log'!$E$6:$E$205,'Spending Log'!$D$6:$D$205,B7)</f>
        <v>38</v>
      </c>
      <c r="E7" s="27" t="n">
        <f aca="false">C7-D7</f>
        <v>112</v>
      </c>
      <c r="F7" s="28" t="s">
        <v>85</v>
      </c>
    </row>
    <row r="8" customFormat="false" ht="15" hidden="false" customHeight="false" outlineLevel="0" collapsed="false">
      <c r="B8" s="19" t="s">
        <v>86</v>
      </c>
      <c r="C8" s="26" t="n">
        <v>60</v>
      </c>
      <c r="D8" s="27" t="n">
        <f aca="false">SUMIFS('Spending Log'!$E$6:$E$205,'Spending Log'!$D$6:$D$205,B8)</f>
        <v>65</v>
      </c>
      <c r="E8" s="27" t="n">
        <f aca="false">C8-D8</f>
        <v>-5</v>
      </c>
      <c r="F8" s="28" t="s">
        <v>87</v>
      </c>
    </row>
    <row r="9" customFormat="false" ht="15" hidden="false" customHeight="false" outlineLevel="0" collapsed="false">
      <c r="B9" s="19" t="s">
        <v>88</v>
      </c>
      <c r="C9" s="26" t="n">
        <v>30</v>
      </c>
      <c r="D9" s="27" t="n">
        <f aca="false">SUMIFS('Spending Log'!$E$6:$E$205,'Spending Log'!$D$6:$D$205,B9)</f>
        <v>18</v>
      </c>
      <c r="E9" s="27" t="n">
        <f aca="false">C9-D9</f>
        <v>12</v>
      </c>
      <c r="F9" s="28" t="s">
        <v>87</v>
      </c>
    </row>
    <row r="10" customFormat="false" ht="15" hidden="false" customHeight="false" outlineLevel="0" collapsed="false">
      <c r="B10" s="19" t="s">
        <v>89</v>
      </c>
      <c r="C10" s="26" t="n">
        <v>15</v>
      </c>
      <c r="D10" s="27" t="n">
        <f aca="false">SUMIFS('Spending Log'!$E$6:$E$205,'Spending Log'!$D$6:$D$205,B10)</f>
        <v>12.5</v>
      </c>
      <c r="E10" s="27" t="n">
        <f aca="false">C10-D10</f>
        <v>2.5</v>
      </c>
      <c r="F10" s="28" t="s">
        <v>87</v>
      </c>
    </row>
    <row r="11" customFormat="false" ht="15" hidden="false" customHeight="false" outlineLevel="0" collapsed="false">
      <c r="B11" s="19" t="s">
        <v>90</v>
      </c>
      <c r="C11" s="26" t="n">
        <v>90</v>
      </c>
      <c r="D11" s="27" t="n">
        <f aca="false">SUM(Travel!$G$6:$G$15)+SUMIFS('Spending Log'!$E$6:$E$205,'Spending Log'!$D$6:$D$205,B11)</f>
        <v>81.5</v>
      </c>
      <c r="E11" s="27" t="n">
        <f aca="false">C11-D11</f>
        <v>8.5</v>
      </c>
      <c r="F11" s="28" t="s">
        <v>91</v>
      </c>
    </row>
    <row r="12" customFormat="false" ht="15" hidden="false" customHeight="false" outlineLevel="0" collapsed="false">
      <c r="B12" s="19" t="s">
        <v>92</v>
      </c>
      <c r="C12" s="26" t="n">
        <v>40</v>
      </c>
      <c r="D12" s="27" t="n">
        <f aca="false">SUMIFS('Spending Log'!$E$6:$E$205,'Spending Log'!$D$6:$D$205,B12)</f>
        <v>0</v>
      </c>
      <c r="E12" s="27" t="n">
        <f aca="false">C12-D12</f>
        <v>40</v>
      </c>
      <c r="F12" s="28" t="s">
        <v>87</v>
      </c>
    </row>
    <row r="13" customFormat="false" ht="15" hidden="false" customHeight="false" outlineLevel="0" collapsed="false">
      <c r="B13" s="19" t="s">
        <v>93</v>
      </c>
      <c r="C13" s="26" t="n">
        <v>40</v>
      </c>
      <c r="D13" s="27" t="n">
        <f aca="false">SUMIFS('Spending Log'!$E$6:$E$205,'Spending Log'!$D$6:$D$205,B13)</f>
        <v>0</v>
      </c>
      <c r="E13" s="27" t="n">
        <f aca="false">C13-D13</f>
        <v>40</v>
      </c>
      <c r="F13" s="28" t="s">
        <v>87</v>
      </c>
    </row>
    <row r="14" customFormat="false" ht="15" hidden="false" customHeight="false" outlineLevel="0" collapsed="false">
      <c r="B14" s="19" t="s">
        <v>94</v>
      </c>
      <c r="C14" s="26" t="n">
        <v>20</v>
      </c>
      <c r="D14" s="27" t="n">
        <f aca="false">SUMIFS('Spending Log'!$E$6:$E$205,'Spending Log'!$D$6:$D$205,B14)</f>
        <v>0</v>
      </c>
      <c r="E14" s="27" t="n">
        <f aca="false">C14-D14</f>
        <v>20</v>
      </c>
      <c r="F14" s="28" t="s">
        <v>87</v>
      </c>
    </row>
    <row r="15" customFormat="false" ht="15" hidden="false" customHeight="false" outlineLevel="0" collapsed="false">
      <c r="B15" s="19" t="s">
        <v>74</v>
      </c>
      <c r="C15" s="26" t="n">
        <v>15</v>
      </c>
      <c r="D15" s="27" t="n">
        <f aca="false">SUMIFS('Spending Log'!$E$6:$E$205,'Spending Log'!$D$6:$D$205,B15)</f>
        <v>0</v>
      </c>
      <c r="E15" s="27" t="n">
        <f aca="false">C15-D15</f>
        <v>15</v>
      </c>
      <c r="F15" s="28" t="s">
        <v>87</v>
      </c>
    </row>
    <row r="17" customFormat="false" ht="15" hidden="false" customHeight="false" outlineLevel="0" collapsed="false">
      <c r="B17" s="12" t="s">
        <v>75</v>
      </c>
      <c r="C17" s="24" t="n">
        <f aca="false">SUM(C6:C15)</f>
        <v>900</v>
      </c>
      <c r="D17" s="24" t="n">
        <f aca="false">SUM(D6:D15)</f>
        <v>289.5</v>
      </c>
      <c r="E17" s="24" t="n">
        <f aca="false">SUM(E6:E15)</f>
        <v>610.5</v>
      </c>
    </row>
    <row r="19" customFormat="false" ht="15" hidden="false" customHeight="false" outlineLevel="0" collapsed="false">
      <c r="B19" s="19" t="s">
        <v>95</v>
      </c>
      <c r="C19" s="27" t="n">
        <f aca="false">Dashboard!C7</f>
        <v>900</v>
      </c>
    </row>
    <row r="20" customFormat="false" ht="15" hidden="false" customHeight="false" outlineLevel="0" collapsed="false">
      <c r="B20" s="19" t="s">
        <v>96</v>
      </c>
      <c r="C20" s="24" t="n">
        <f aca="false">C19-C17</f>
        <v>0</v>
      </c>
    </row>
    <row r="21" customFormat="false" ht="15" hidden="false" customHeight="false" outlineLevel="0" collapsed="false">
      <c r="B21" s="11" t="s">
        <v>97</v>
      </c>
    </row>
  </sheetData>
  <conditionalFormatting sqref="E6:E17">
    <cfRule type="cellIs" priority="2" operator="lessThan" aboveAverage="0" equalAverage="0" bottom="0" percent="0" rank="0" text="" dxfId="0">
      <formula>0</formula>
    </cfRule>
  </conditionalFormatting>
  <conditionalFormatting sqref="C20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F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</row>
    <row r="2" customFormat="false" ht="31.5" hidden="false" customHeight="true" outlineLevel="0" collapsed="false">
      <c r="A2" s="4"/>
      <c r="B2" s="5" t="s">
        <v>87</v>
      </c>
      <c r="C2" s="4"/>
      <c r="D2" s="4"/>
      <c r="E2" s="4"/>
      <c r="F2" s="4"/>
    </row>
    <row r="3" customFormat="false" ht="15" hidden="false" customHeight="false" outlineLevel="0" collapsed="false">
      <c r="A3" s="4"/>
      <c r="B3" s="6" t="s">
        <v>98</v>
      </c>
      <c r="C3" s="4"/>
      <c r="D3" s="4"/>
      <c r="E3" s="4"/>
      <c r="F3" s="4"/>
    </row>
    <row r="5" customFormat="false" ht="21.75" hidden="false" customHeight="true" outlineLevel="0" collapsed="false">
      <c r="B5" s="22" t="s">
        <v>99</v>
      </c>
      <c r="C5" s="22" t="s">
        <v>100</v>
      </c>
      <c r="D5" s="22" t="s">
        <v>79</v>
      </c>
      <c r="E5" s="22" t="s">
        <v>101</v>
      </c>
    </row>
    <row r="6" customFormat="false" ht="15" hidden="false" customHeight="false" outlineLevel="0" collapsed="false">
      <c r="B6" s="29" t="n">
        <v>46346</v>
      </c>
      <c r="C6" s="25" t="s">
        <v>102</v>
      </c>
      <c r="D6" s="25" t="s">
        <v>86</v>
      </c>
      <c r="E6" s="26" t="n">
        <v>65</v>
      </c>
    </row>
    <row r="7" customFormat="false" ht="15" hidden="false" customHeight="false" outlineLevel="0" collapsed="false">
      <c r="B7" s="29" t="n">
        <v>46348</v>
      </c>
      <c r="C7" s="25" t="s">
        <v>103</v>
      </c>
      <c r="D7" s="25" t="s">
        <v>89</v>
      </c>
      <c r="E7" s="26" t="n">
        <v>12.5</v>
      </c>
    </row>
    <row r="8" customFormat="false" ht="15" hidden="false" customHeight="false" outlineLevel="0" collapsed="false">
      <c r="B8" s="29" t="n">
        <v>46357</v>
      </c>
      <c r="C8" s="25" t="s">
        <v>104</v>
      </c>
      <c r="D8" s="25" t="s">
        <v>88</v>
      </c>
      <c r="E8" s="26" t="n">
        <v>18</v>
      </c>
    </row>
    <row r="9" customFormat="false" ht="15" hidden="false" customHeight="false" outlineLevel="0" collapsed="false">
      <c r="B9" s="29"/>
      <c r="C9" s="25"/>
      <c r="D9" s="25"/>
      <c r="E9" s="26"/>
    </row>
    <row r="10" customFormat="false" ht="15" hidden="false" customHeight="false" outlineLevel="0" collapsed="false">
      <c r="B10" s="29"/>
      <c r="C10" s="25"/>
      <c r="D10" s="25"/>
      <c r="E10" s="26"/>
    </row>
    <row r="11" customFormat="false" ht="15" hidden="false" customHeight="false" outlineLevel="0" collapsed="false">
      <c r="B11" s="29"/>
      <c r="C11" s="25"/>
      <c r="D11" s="25"/>
      <c r="E11" s="26"/>
    </row>
    <row r="12" customFormat="false" ht="15" hidden="false" customHeight="false" outlineLevel="0" collapsed="false">
      <c r="B12" s="29"/>
      <c r="C12" s="25"/>
      <c r="D12" s="25"/>
      <c r="E12" s="26"/>
    </row>
    <row r="13" customFormat="false" ht="15" hidden="false" customHeight="false" outlineLevel="0" collapsed="false">
      <c r="B13" s="29"/>
      <c r="C13" s="25"/>
      <c r="D13" s="25"/>
      <c r="E13" s="26"/>
    </row>
    <row r="14" customFormat="false" ht="15" hidden="false" customHeight="false" outlineLevel="0" collapsed="false">
      <c r="B14" s="29"/>
      <c r="C14" s="25"/>
      <c r="D14" s="25"/>
      <c r="E14" s="26"/>
    </row>
    <row r="15" customFormat="false" ht="15" hidden="false" customHeight="false" outlineLevel="0" collapsed="false">
      <c r="B15" s="29"/>
      <c r="C15" s="25"/>
      <c r="D15" s="25"/>
      <c r="E15" s="26"/>
    </row>
    <row r="16" customFormat="false" ht="15" hidden="false" customHeight="false" outlineLevel="0" collapsed="false">
      <c r="B16" s="29"/>
      <c r="C16" s="25"/>
      <c r="D16" s="25"/>
      <c r="E16" s="26"/>
    </row>
    <row r="17" customFormat="false" ht="15" hidden="false" customHeight="false" outlineLevel="0" collapsed="false">
      <c r="B17" s="29"/>
      <c r="C17" s="25"/>
      <c r="D17" s="25"/>
      <c r="E17" s="26"/>
    </row>
    <row r="18" customFormat="false" ht="15" hidden="false" customHeight="false" outlineLevel="0" collapsed="false">
      <c r="B18" s="29"/>
      <c r="C18" s="25"/>
      <c r="D18" s="25"/>
      <c r="E18" s="26"/>
    </row>
    <row r="19" customFormat="false" ht="15" hidden="false" customHeight="false" outlineLevel="0" collapsed="false">
      <c r="B19" s="29"/>
      <c r="C19" s="25"/>
      <c r="D19" s="25"/>
      <c r="E19" s="26"/>
    </row>
    <row r="20" customFormat="false" ht="15" hidden="false" customHeight="false" outlineLevel="0" collapsed="false">
      <c r="B20" s="29"/>
      <c r="C20" s="25"/>
      <c r="D20" s="25"/>
      <c r="E20" s="26"/>
    </row>
    <row r="21" customFormat="false" ht="15" hidden="false" customHeight="false" outlineLevel="0" collapsed="false">
      <c r="B21" s="29"/>
      <c r="C21" s="25"/>
      <c r="D21" s="25"/>
      <c r="E21" s="26"/>
    </row>
    <row r="22" customFormat="false" ht="15" hidden="false" customHeight="false" outlineLevel="0" collapsed="false">
      <c r="B22" s="29"/>
      <c r="C22" s="25"/>
      <c r="D22" s="25"/>
      <c r="E22" s="26"/>
    </row>
    <row r="23" customFormat="false" ht="15" hidden="false" customHeight="false" outlineLevel="0" collapsed="false">
      <c r="B23" s="29"/>
      <c r="C23" s="25"/>
      <c r="D23" s="25"/>
      <c r="E23" s="26"/>
    </row>
    <row r="24" customFormat="false" ht="15" hidden="false" customHeight="false" outlineLevel="0" collapsed="false">
      <c r="B24" s="29"/>
      <c r="C24" s="25"/>
      <c r="D24" s="25"/>
      <c r="E24" s="26"/>
    </row>
    <row r="25" customFormat="false" ht="15" hidden="false" customHeight="false" outlineLevel="0" collapsed="false">
      <c r="B25" s="29"/>
      <c r="C25" s="25"/>
      <c r="D25" s="25"/>
      <c r="E25" s="26"/>
    </row>
    <row r="26" customFormat="false" ht="15" hidden="false" customHeight="false" outlineLevel="0" collapsed="false">
      <c r="B26" s="29"/>
      <c r="C26" s="25"/>
      <c r="D26" s="25"/>
      <c r="E26" s="26"/>
    </row>
    <row r="27" customFormat="false" ht="15" hidden="false" customHeight="false" outlineLevel="0" collapsed="false">
      <c r="B27" s="29"/>
      <c r="C27" s="25"/>
      <c r="D27" s="25"/>
      <c r="E27" s="26"/>
    </row>
    <row r="28" customFormat="false" ht="15" hidden="false" customHeight="false" outlineLevel="0" collapsed="false">
      <c r="B28" s="29"/>
      <c r="C28" s="25"/>
      <c r="D28" s="25"/>
      <c r="E28" s="26"/>
    </row>
    <row r="29" customFormat="false" ht="15" hidden="false" customHeight="false" outlineLevel="0" collapsed="false">
      <c r="B29" s="29"/>
      <c r="C29" s="25"/>
      <c r="D29" s="25"/>
      <c r="E29" s="26"/>
    </row>
    <row r="30" customFormat="false" ht="15" hidden="false" customHeight="false" outlineLevel="0" collapsed="false">
      <c r="B30" s="29"/>
      <c r="C30" s="25"/>
      <c r="D30" s="25"/>
      <c r="E30" s="26"/>
    </row>
    <row r="31" customFormat="false" ht="15" hidden="false" customHeight="false" outlineLevel="0" collapsed="false">
      <c r="B31" s="29"/>
      <c r="C31" s="25"/>
      <c r="D31" s="25"/>
      <c r="E31" s="26"/>
    </row>
    <row r="32" customFormat="false" ht="15" hidden="false" customHeight="false" outlineLevel="0" collapsed="false">
      <c r="B32" s="29"/>
      <c r="C32" s="25"/>
      <c r="D32" s="25"/>
      <c r="E32" s="26"/>
    </row>
    <row r="33" customFormat="false" ht="15" hidden="false" customHeight="false" outlineLevel="0" collapsed="false">
      <c r="B33" s="29"/>
      <c r="C33" s="25"/>
      <c r="D33" s="25"/>
      <c r="E33" s="26"/>
    </row>
    <row r="34" customFormat="false" ht="15" hidden="false" customHeight="false" outlineLevel="0" collapsed="false">
      <c r="B34" s="29"/>
      <c r="C34" s="25"/>
      <c r="D34" s="25"/>
      <c r="E34" s="26"/>
    </row>
    <row r="35" customFormat="false" ht="15" hidden="false" customHeight="false" outlineLevel="0" collapsed="false">
      <c r="B35" s="29"/>
      <c r="C35" s="25"/>
      <c r="D35" s="25"/>
      <c r="E35" s="26"/>
    </row>
    <row r="36" customFormat="false" ht="15" hidden="false" customHeight="false" outlineLevel="0" collapsed="false">
      <c r="B36" s="29"/>
      <c r="C36" s="25"/>
      <c r="D36" s="25"/>
      <c r="E36" s="26"/>
    </row>
    <row r="37" customFormat="false" ht="15" hidden="false" customHeight="false" outlineLevel="0" collapsed="false">
      <c r="B37" s="29"/>
      <c r="C37" s="25"/>
      <c r="D37" s="25"/>
      <c r="E37" s="26"/>
    </row>
    <row r="38" customFormat="false" ht="15" hidden="false" customHeight="false" outlineLevel="0" collapsed="false">
      <c r="B38" s="29"/>
      <c r="C38" s="25"/>
      <c r="D38" s="25"/>
      <c r="E38" s="26"/>
    </row>
    <row r="39" customFormat="false" ht="15" hidden="false" customHeight="false" outlineLevel="0" collapsed="false">
      <c r="B39" s="29"/>
      <c r="C39" s="25"/>
      <c r="D39" s="25"/>
      <c r="E39" s="26"/>
    </row>
    <row r="40" customFormat="false" ht="15" hidden="false" customHeight="false" outlineLevel="0" collapsed="false">
      <c r="B40" s="29"/>
      <c r="C40" s="25"/>
      <c r="D40" s="25"/>
      <c r="E40" s="26"/>
    </row>
    <row r="41" customFormat="false" ht="15" hidden="false" customHeight="false" outlineLevel="0" collapsed="false">
      <c r="B41" s="29"/>
      <c r="C41" s="25"/>
      <c r="D41" s="25"/>
      <c r="E41" s="26"/>
    </row>
    <row r="42" customFormat="false" ht="15" hidden="false" customHeight="false" outlineLevel="0" collapsed="false">
      <c r="B42" s="29"/>
      <c r="C42" s="25"/>
      <c r="D42" s="25"/>
      <c r="E42" s="26"/>
    </row>
    <row r="43" customFormat="false" ht="15" hidden="false" customHeight="false" outlineLevel="0" collapsed="false">
      <c r="B43" s="29"/>
      <c r="C43" s="25"/>
      <c r="D43" s="25"/>
      <c r="E43" s="26"/>
    </row>
    <row r="44" customFormat="false" ht="15" hidden="false" customHeight="false" outlineLevel="0" collapsed="false">
      <c r="B44" s="29"/>
      <c r="C44" s="25"/>
      <c r="D44" s="25"/>
      <c r="E44" s="26"/>
    </row>
    <row r="45" customFormat="false" ht="15" hidden="false" customHeight="false" outlineLevel="0" collapsed="false">
      <c r="B45" s="29"/>
      <c r="C45" s="25"/>
      <c r="D45" s="25"/>
      <c r="E45" s="26"/>
    </row>
    <row r="46" customFormat="false" ht="15" hidden="false" customHeight="false" outlineLevel="0" collapsed="false">
      <c r="B46" s="29"/>
      <c r="C46" s="25"/>
      <c r="D46" s="25"/>
      <c r="E46" s="26"/>
    </row>
    <row r="47" customFormat="false" ht="15" hidden="false" customHeight="false" outlineLevel="0" collapsed="false">
      <c r="B47" s="29"/>
      <c r="C47" s="25"/>
      <c r="D47" s="25"/>
      <c r="E47" s="26"/>
    </row>
    <row r="48" customFormat="false" ht="15" hidden="false" customHeight="false" outlineLevel="0" collapsed="false">
      <c r="B48" s="29"/>
      <c r="C48" s="25"/>
      <c r="D48" s="25"/>
      <c r="E48" s="26"/>
    </row>
    <row r="49" customFormat="false" ht="15" hidden="false" customHeight="false" outlineLevel="0" collapsed="false">
      <c r="B49" s="29"/>
      <c r="C49" s="25"/>
      <c r="D49" s="25"/>
      <c r="E49" s="26"/>
    </row>
    <row r="50" customFormat="false" ht="15" hidden="false" customHeight="false" outlineLevel="0" collapsed="false">
      <c r="B50" s="29"/>
      <c r="C50" s="25"/>
      <c r="D50" s="25"/>
      <c r="E50" s="26"/>
    </row>
    <row r="51" customFormat="false" ht="15" hidden="false" customHeight="false" outlineLevel="0" collapsed="false">
      <c r="B51" s="29"/>
      <c r="C51" s="25"/>
      <c r="D51" s="25"/>
      <c r="E51" s="26"/>
    </row>
    <row r="52" customFormat="false" ht="15" hidden="false" customHeight="false" outlineLevel="0" collapsed="false">
      <c r="B52" s="29"/>
      <c r="C52" s="25"/>
      <c r="D52" s="25"/>
      <c r="E52" s="26"/>
    </row>
    <row r="53" customFormat="false" ht="15" hidden="false" customHeight="false" outlineLevel="0" collapsed="false">
      <c r="B53" s="29"/>
      <c r="C53" s="25"/>
      <c r="D53" s="25"/>
      <c r="E53" s="26"/>
    </row>
    <row r="54" customFormat="false" ht="15" hidden="false" customHeight="false" outlineLevel="0" collapsed="false">
      <c r="B54" s="29"/>
      <c r="C54" s="25"/>
      <c r="D54" s="25"/>
      <c r="E54" s="26"/>
    </row>
    <row r="55" customFormat="false" ht="15" hidden="false" customHeight="false" outlineLevel="0" collapsed="false">
      <c r="B55" s="29"/>
      <c r="C55" s="25"/>
      <c r="D55" s="25"/>
      <c r="E55" s="26"/>
    </row>
    <row r="56" customFormat="false" ht="15" hidden="false" customHeight="false" outlineLevel="0" collapsed="false">
      <c r="B56" s="29"/>
      <c r="C56" s="25"/>
      <c r="D56" s="25"/>
      <c r="E56" s="26"/>
    </row>
    <row r="57" customFormat="false" ht="15" hidden="false" customHeight="false" outlineLevel="0" collapsed="false">
      <c r="B57" s="29"/>
      <c r="C57" s="25"/>
      <c r="D57" s="25"/>
      <c r="E57" s="26"/>
    </row>
    <row r="58" customFormat="false" ht="15" hidden="false" customHeight="false" outlineLevel="0" collapsed="false">
      <c r="B58" s="29"/>
      <c r="C58" s="25"/>
      <c r="D58" s="25"/>
      <c r="E58" s="26"/>
    </row>
    <row r="59" customFormat="false" ht="15" hidden="false" customHeight="false" outlineLevel="0" collapsed="false">
      <c r="B59" s="29"/>
      <c r="C59" s="25"/>
      <c r="D59" s="25"/>
      <c r="E59" s="26"/>
    </row>
    <row r="60" customFormat="false" ht="15" hidden="false" customHeight="false" outlineLevel="0" collapsed="false">
      <c r="B60" s="29"/>
      <c r="C60" s="25"/>
      <c r="D60" s="25"/>
      <c r="E60" s="26"/>
    </row>
    <row r="61" customFormat="false" ht="15" hidden="false" customHeight="false" outlineLevel="0" collapsed="false">
      <c r="B61" s="29"/>
      <c r="C61" s="25"/>
      <c r="D61" s="25"/>
      <c r="E61" s="26"/>
    </row>
    <row r="62" customFormat="false" ht="15" hidden="false" customHeight="false" outlineLevel="0" collapsed="false">
      <c r="B62" s="29"/>
      <c r="C62" s="25"/>
      <c r="D62" s="25"/>
      <c r="E62" s="26"/>
    </row>
    <row r="63" customFormat="false" ht="15" hidden="false" customHeight="false" outlineLevel="0" collapsed="false">
      <c r="B63" s="29"/>
      <c r="C63" s="25"/>
      <c r="D63" s="25"/>
      <c r="E63" s="26"/>
    </row>
    <row r="64" customFormat="false" ht="15" hidden="false" customHeight="false" outlineLevel="0" collapsed="false">
      <c r="B64" s="29"/>
      <c r="C64" s="25"/>
      <c r="D64" s="25"/>
      <c r="E64" s="26"/>
    </row>
    <row r="65" customFormat="false" ht="15" hidden="false" customHeight="false" outlineLevel="0" collapsed="false">
      <c r="B65" s="29"/>
      <c r="C65" s="25"/>
      <c r="D65" s="25"/>
      <c r="E65" s="26"/>
    </row>
    <row r="66" customFormat="false" ht="15" hidden="false" customHeight="false" outlineLevel="0" collapsed="false">
      <c r="B66" s="29"/>
      <c r="C66" s="25"/>
      <c r="D66" s="25"/>
      <c r="E66" s="26"/>
    </row>
    <row r="67" customFormat="false" ht="15" hidden="false" customHeight="false" outlineLevel="0" collapsed="false">
      <c r="B67" s="29"/>
      <c r="C67" s="25"/>
      <c r="D67" s="25"/>
      <c r="E67" s="26"/>
    </row>
    <row r="68" customFormat="false" ht="15" hidden="false" customHeight="false" outlineLevel="0" collapsed="false">
      <c r="B68" s="29"/>
      <c r="C68" s="25"/>
      <c r="D68" s="25"/>
      <c r="E68" s="26"/>
    </row>
    <row r="69" customFormat="false" ht="15" hidden="false" customHeight="false" outlineLevel="0" collapsed="false">
      <c r="B69" s="29"/>
      <c r="C69" s="25"/>
      <c r="D69" s="25"/>
      <c r="E69" s="26"/>
    </row>
    <row r="70" customFormat="false" ht="15" hidden="false" customHeight="false" outlineLevel="0" collapsed="false">
      <c r="B70" s="29"/>
      <c r="C70" s="25"/>
      <c r="D70" s="25"/>
      <c r="E70" s="26"/>
    </row>
    <row r="71" customFormat="false" ht="15" hidden="false" customHeight="false" outlineLevel="0" collapsed="false">
      <c r="B71" s="29"/>
      <c r="C71" s="25"/>
      <c r="D71" s="25"/>
      <c r="E71" s="26"/>
    </row>
    <row r="72" customFormat="false" ht="15" hidden="false" customHeight="false" outlineLevel="0" collapsed="false">
      <c r="B72" s="29"/>
      <c r="C72" s="25"/>
      <c r="D72" s="25"/>
      <c r="E72" s="26"/>
    </row>
    <row r="73" customFormat="false" ht="15" hidden="false" customHeight="false" outlineLevel="0" collapsed="false">
      <c r="B73" s="29"/>
      <c r="C73" s="25"/>
      <c r="D73" s="25"/>
      <c r="E73" s="26"/>
    </row>
    <row r="74" customFormat="false" ht="15" hidden="false" customHeight="false" outlineLevel="0" collapsed="false">
      <c r="B74" s="29"/>
      <c r="C74" s="25"/>
      <c r="D74" s="25"/>
      <c r="E74" s="26"/>
    </row>
    <row r="75" customFormat="false" ht="15" hidden="false" customHeight="false" outlineLevel="0" collapsed="false">
      <c r="B75" s="29"/>
      <c r="C75" s="25"/>
      <c r="D75" s="25"/>
      <c r="E75" s="26"/>
    </row>
    <row r="76" customFormat="false" ht="15" hidden="false" customHeight="false" outlineLevel="0" collapsed="false">
      <c r="B76" s="29"/>
      <c r="C76" s="25"/>
      <c r="D76" s="25"/>
      <c r="E76" s="26"/>
    </row>
    <row r="77" customFormat="false" ht="15" hidden="false" customHeight="false" outlineLevel="0" collapsed="false">
      <c r="B77" s="29"/>
      <c r="C77" s="25"/>
      <c r="D77" s="25"/>
      <c r="E77" s="26"/>
    </row>
    <row r="78" customFormat="false" ht="15" hidden="false" customHeight="false" outlineLevel="0" collapsed="false">
      <c r="B78" s="29"/>
      <c r="C78" s="25"/>
      <c r="D78" s="25"/>
      <c r="E78" s="26"/>
    </row>
    <row r="79" customFormat="false" ht="15" hidden="false" customHeight="false" outlineLevel="0" collapsed="false">
      <c r="B79" s="29"/>
      <c r="C79" s="25"/>
      <c r="D79" s="25"/>
      <c r="E79" s="26"/>
    </row>
    <row r="80" customFormat="false" ht="15" hidden="false" customHeight="false" outlineLevel="0" collapsed="false">
      <c r="B80" s="29"/>
      <c r="C80" s="25"/>
      <c r="D80" s="25"/>
      <c r="E80" s="26"/>
    </row>
    <row r="81" customFormat="false" ht="15" hidden="false" customHeight="false" outlineLevel="0" collapsed="false">
      <c r="B81" s="29"/>
      <c r="C81" s="25"/>
      <c r="D81" s="25"/>
      <c r="E81" s="26"/>
    </row>
    <row r="82" customFormat="false" ht="15" hidden="false" customHeight="false" outlineLevel="0" collapsed="false">
      <c r="B82" s="29"/>
      <c r="C82" s="25"/>
      <c r="D82" s="25"/>
      <c r="E82" s="26"/>
    </row>
    <row r="83" customFormat="false" ht="15" hidden="false" customHeight="false" outlineLevel="0" collapsed="false">
      <c r="B83" s="29"/>
      <c r="C83" s="25"/>
      <c r="D83" s="25"/>
      <c r="E83" s="26"/>
    </row>
    <row r="84" customFormat="false" ht="15" hidden="false" customHeight="false" outlineLevel="0" collapsed="false">
      <c r="B84" s="29"/>
      <c r="C84" s="25"/>
      <c r="D84" s="25"/>
      <c r="E84" s="26"/>
    </row>
    <row r="85" customFormat="false" ht="15" hidden="false" customHeight="false" outlineLevel="0" collapsed="false">
      <c r="B85" s="29"/>
      <c r="C85" s="25"/>
      <c r="D85" s="25"/>
      <c r="E85" s="26"/>
    </row>
    <row r="86" customFormat="false" ht="15" hidden="false" customHeight="false" outlineLevel="0" collapsed="false">
      <c r="B86" s="29"/>
      <c r="C86" s="25"/>
      <c r="D86" s="25"/>
      <c r="E86" s="26"/>
    </row>
    <row r="87" customFormat="false" ht="15" hidden="false" customHeight="false" outlineLevel="0" collapsed="false">
      <c r="B87" s="29"/>
      <c r="C87" s="25"/>
      <c r="D87" s="25"/>
      <c r="E87" s="26"/>
    </row>
    <row r="88" customFormat="false" ht="15" hidden="false" customHeight="false" outlineLevel="0" collapsed="false">
      <c r="B88" s="29"/>
      <c r="C88" s="25"/>
      <c r="D88" s="25"/>
      <c r="E88" s="26"/>
    </row>
    <row r="89" customFormat="false" ht="15" hidden="false" customHeight="false" outlineLevel="0" collapsed="false">
      <c r="B89" s="29"/>
      <c r="C89" s="25"/>
      <c r="D89" s="25"/>
      <c r="E89" s="26"/>
    </row>
    <row r="90" customFormat="false" ht="15" hidden="false" customHeight="false" outlineLevel="0" collapsed="false">
      <c r="B90" s="29"/>
      <c r="C90" s="25"/>
      <c r="D90" s="25"/>
      <c r="E90" s="26"/>
    </row>
    <row r="91" customFormat="false" ht="15" hidden="false" customHeight="false" outlineLevel="0" collapsed="false">
      <c r="B91" s="29"/>
      <c r="C91" s="25"/>
      <c r="D91" s="25"/>
      <c r="E91" s="26"/>
    </row>
    <row r="92" customFormat="false" ht="15" hidden="false" customHeight="false" outlineLevel="0" collapsed="false">
      <c r="B92" s="29"/>
      <c r="C92" s="25"/>
      <c r="D92" s="25"/>
      <c r="E92" s="26"/>
    </row>
    <row r="93" customFormat="false" ht="15" hidden="false" customHeight="false" outlineLevel="0" collapsed="false">
      <c r="B93" s="29"/>
      <c r="C93" s="25"/>
      <c r="D93" s="25"/>
      <c r="E93" s="26"/>
    </row>
    <row r="94" customFormat="false" ht="15" hidden="false" customHeight="false" outlineLevel="0" collapsed="false">
      <c r="B94" s="29"/>
      <c r="C94" s="25"/>
      <c r="D94" s="25"/>
      <c r="E94" s="26"/>
    </row>
    <row r="95" customFormat="false" ht="15" hidden="false" customHeight="false" outlineLevel="0" collapsed="false">
      <c r="B95" s="29"/>
      <c r="C95" s="25"/>
      <c r="D95" s="25"/>
      <c r="E95" s="26"/>
    </row>
    <row r="96" customFormat="false" ht="15" hidden="false" customHeight="false" outlineLevel="0" collapsed="false">
      <c r="B96" s="29"/>
      <c r="C96" s="25"/>
      <c r="D96" s="25"/>
      <c r="E96" s="26"/>
    </row>
    <row r="97" customFormat="false" ht="15" hidden="false" customHeight="false" outlineLevel="0" collapsed="false">
      <c r="B97" s="29"/>
      <c r="C97" s="25"/>
      <c r="D97" s="25"/>
      <c r="E97" s="26"/>
    </row>
    <row r="98" customFormat="false" ht="15" hidden="false" customHeight="false" outlineLevel="0" collapsed="false">
      <c r="B98" s="29"/>
      <c r="C98" s="25"/>
      <c r="D98" s="25"/>
      <c r="E98" s="26"/>
    </row>
    <row r="99" customFormat="false" ht="15" hidden="false" customHeight="false" outlineLevel="0" collapsed="false">
      <c r="B99" s="29"/>
      <c r="C99" s="25"/>
      <c r="D99" s="25"/>
      <c r="E99" s="26"/>
    </row>
    <row r="100" customFormat="false" ht="15" hidden="false" customHeight="false" outlineLevel="0" collapsed="false">
      <c r="B100" s="29"/>
      <c r="C100" s="25"/>
      <c r="D100" s="25"/>
      <c r="E100" s="26"/>
    </row>
    <row r="101" customFormat="false" ht="15" hidden="false" customHeight="false" outlineLevel="0" collapsed="false">
      <c r="B101" s="29"/>
      <c r="C101" s="25"/>
      <c r="D101" s="25"/>
      <c r="E101" s="26"/>
    </row>
    <row r="102" customFormat="false" ht="15" hidden="false" customHeight="false" outlineLevel="0" collapsed="false">
      <c r="B102" s="29"/>
      <c r="C102" s="25"/>
      <c r="D102" s="25"/>
      <c r="E102" s="26"/>
    </row>
    <row r="103" customFormat="false" ht="15" hidden="false" customHeight="false" outlineLevel="0" collapsed="false">
      <c r="B103" s="29"/>
      <c r="C103" s="25"/>
      <c r="D103" s="25"/>
      <c r="E103" s="26"/>
    </row>
    <row r="104" customFormat="false" ht="15" hidden="false" customHeight="false" outlineLevel="0" collapsed="false">
      <c r="B104" s="29"/>
      <c r="C104" s="25"/>
      <c r="D104" s="25"/>
      <c r="E104" s="26"/>
    </row>
    <row r="105" customFormat="false" ht="15" hidden="false" customHeight="false" outlineLevel="0" collapsed="false">
      <c r="B105" s="29"/>
      <c r="C105" s="25"/>
      <c r="D105" s="25"/>
      <c r="E105" s="26"/>
    </row>
    <row r="106" customFormat="false" ht="15" hidden="false" customHeight="false" outlineLevel="0" collapsed="false">
      <c r="B106" s="29"/>
      <c r="C106" s="25"/>
      <c r="D106" s="25"/>
      <c r="E106" s="26"/>
    </row>
    <row r="107" customFormat="false" ht="15" hidden="false" customHeight="false" outlineLevel="0" collapsed="false">
      <c r="B107" s="29"/>
      <c r="C107" s="25"/>
      <c r="D107" s="25"/>
      <c r="E107" s="26"/>
    </row>
    <row r="108" customFormat="false" ht="15" hidden="false" customHeight="false" outlineLevel="0" collapsed="false">
      <c r="B108" s="29"/>
      <c r="C108" s="25"/>
      <c r="D108" s="25"/>
      <c r="E108" s="26"/>
    </row>
    <row r="109" customFormat="false" ht="15" hidden="false" customHeight="false" outlineLevel="0" collapsed="false">
      <c r="B109" s="29"/>
      <c r="C109" s="25"/>
      <c r="D109" s="25"/>
      <c r="E109" s="26"/>
    </row>
    <row r="110" customFormat="false" ht="15" hidden="false" customHeight="false" outlineLevel="0" collapsed="false">
      <c r="B110" s="29"/>
      <c r="C110" s="25"/>
      <c r="D110" s="25"/>
      <c r="E110" s="26"/>
    </row>
    <row r="111" customFormat="false" ht="15" hidden="false" customHeight="false" outlineLevel="0" collapsed="false">
      <c r="B111" s="29"/>
      <c r="C111" s="25"/>
      <c r="D111" s="25"/>
      <c r="E111" s="26"/>
    </row>
    <row r="112" customFormat="false" ht="15" hidden="false" customHeight="false" outlineLevel="0" collapsed="false">
      <c r="B112" s="29"/>
      <c r="C112" s="25"/>
      <c r="D112" s="25"/>
      <c r="E112" s="26"/>
    </row>
    <row r="113" customFormat="false" ht="15" hidden="false" customHeight="false" outlineLevel="0" collapsed="false">
      <c r="B113" s="29"/>
      <c r="C113" s="25"/>
      <c r="D113" s="25"/>
      <c r="E113" s="26"/>
    </row>
    <row r="114" customFormat="false" ht="15" hidden="false" customHeight="false" outlineLevel="0" collapsed="false">
      <c r="B114" s="29"/>
      <c r="C114" s="25"/>
      <c r="D114" s="25"/>
      <c r="E114" s="26"/>
    </row>
    <row r="115" customFormat="false" ht="15" hidden="false" customHeight="false" outlineLevel="0" collapsed="false">
      <c r="B115" s="29"/>
      <c r="C115" s="25"/>
      <c r="D115" s="25"/>
      <c r="E115" s="26"/>
    </row>
    <row r="116" customFormat="false" ht="15" hidden="false" customHeight="false" outlineLevel="0" collapsed="false">
      <c r="B116" s="29"/>
      <c r="C116" s="25"/>
      <c r="D116" s="25"/>
      <c r="E116" s="26"/>
    </row>
    <row r="117" customFormat="false" ht="15" hidden="false" customHeight="false" outlineLevel="0" collapsed="false">
      <c r="B117" s="29"/>
      <c r="C117" s="25"/>
      <c r="D117" s="25"/>
      <c r="E117" s="26"/>
    </row>
    <row r="118" customFormat="false" ht="15" hidden="false" customHeight="false" outlineLevel="0" collapsed="false">
      <c r="B118" s="29"/>
      <c r="C118" s="25"/>
      <c r="D118" s="25"/>
      <c r="E118" s="26"/>
    </row>
    <row r="119" customFormat="false" ht="15" hidden="false" customHeight="false" outlineLevel="0" collapsed="false">
      <c r="B119" s="29"/>
      <c r="C119" s="25"/>
      <c r="D119" s="25"/>
      <c r="E119" s="26"/>
    </row>
    <row r="120" customFormat="false" ht="15" hidden="false" customHeight="false" outlineLevel="0" collapsed="false">
      <c r="B120" s="29"/>
      <c r="C120" s="25"/>
      <c r="D120" s="25"/>
      <c r="E120" s="26"/>
    </row>
    <row r="121" customFormat="false" ht="15" hidden="false" customHeight="false" outlineLevel="0" collapsed="false">
      <c r="B121" s="29"/>
      <c r="C121" s="25"/>
      <c r="D121" s="25"/>
      <c r="E121" s="26"/>
    </row>
    <row r="122" customFormat="false" ht="15" hidden="false" customHeight="false" outlineLevel="0" collapsed="false">
      <c r="B122" s="29"/>
      <c r="C122" s="25"/>
      <c r="D122" s="25"/>
      <c r="E122" s="26"/>
    </row>
    <row r="123" customFormat="false" ht="15" hidden="false" customHeight="false" outlineLevel="0" collapsed="false">
      <c r="B123" s="29"/>
      <c r="C123" s="25"/>
      <c r="D123" s="25"/>
      <c r="E123" s="26"/>
    </row>
    <row r="124" customFormat="false" ht="15" hidden="false" customHeight="false" outlineLevel="0" collapsed="false">
      <c r="B124" s="29"/>
      <c r="C124" s="25"/>
      <c r="D124" s="25"/>
      <c r="E124" s="26"/>
    </row>
    <row r="125" customFormat="false" ht="15" hidden="false" customHeight="false" outlineLevel="0" collapsed="false">
      <c r="B125" s="29"/>
      <c r="C125" s="25"/>
      <c r="D125" s="25"/>
      <c r="E125" s="26"/>
    </row>
    <row r="126" customFormat="false" ht="15" hidden="false" customHeight="false" outlineLevel="0" collapsed="false">
      <c r="B126" s="29"/>
      <c r="C126" s="25"/>
      <c r="D126" s="25"/>
      <c r="E126" s="26"/>
    </row>
    <row r="127" customFormat="false" ht="15" hidden="false" customHeight="false" outlineLevel="0" collapsed="false">
      <c r="B127" s="29"/>
      <c r="C127" s="25"/>
      <c r="D127" s="25"/>
      <c r="E127" s="26"/>
    </row>
    <row r="128" customFormat="false" ht="15" hidden="false" customHeight="false" outlineLevel="0" collapsed="false">
      <c r="B128" s="29"/>
      <c r="C128" s="25"/>
      <c r="D128" s="25"/>
      <c r="E128" s="26"/>
    </row>
    <row r="129" customFormat="false" ht="15" hidden="false" customHeight="false" outlineLevel="0" collapsed="false">
      <c r="B129" s="29"/>
      <c r="C129" s="25"/>
      <c r="D129" s="25"/>
      <c r="E129" s="26"/>
    </row>
    <row r="130" customFormat="false" ht="15" hidden="false" customHeight="false" outlineLevel="0" collapsed="false">
      <c r="B130" s="29"/>
      <c r="C130" s="25"/>
      <c r="D130" s="25"/>
      <c r="E130" s="26"/>
    </row>
    <row r="131" customFormat="false" ht="15" hidden="false" customHeight="false" outlineLevel="0" collapsed="false">
      <c r="B131" s="29"/>
      <c r="C131" s="25"/>
      <c r="D131" s="25"/>
      <c r="E131" s="26"/>
    </row>
    <row r="132" customFormat="false" ht="15" hidden="false" customHeight="false" outlineLevel="0" collapsed="false">
      <c r="B132" s="29"/>
      <c r="C132" s="25"/>
      <c r="D132" s="25"/>
      <c r="E132" s="26"/>
    </row>
    <row r="133" customFormat="false" ht="15" hidden="false" customHeight="false" outlineLevel="0" collapsed="false">
      <c r="B133" s="29"/>
      <c r="C133" s="25"/>
      <c r="D133" s="25"/>
      <c r="E133" s="26"/>
    </row>
    <row r="134" customFormat="false" ht="15" hidden="false" customHeight="false" outlineLevel="0" collapsed="false">
      <c r="B134" s="29"/>
      <c r="C134" s="25"/>
      <c r="D134" s="25"/>
      <c r="E134" s="26"/>
    </row>
    <row r="135" customFormat="false" ht="15" hidden="false" customHeight="false" outlineLevel="0" collapsed="false">
      <c r="B135" s="29"/>
      <c r="C135" s="25"/>
      <c r="D135" s="25"/>
      <c r="E135" s="26"/>
    </row>
    <row r="136" customFormat="false" ht="15" hidden="false" customHeight="false" outlineLevel="0" collapsed="false">
      <c r="B136" s="29"/>
      <c r="C136" s="25"/>
      <c r="D136" s="25"/>
      <c r="E136" s="26"/>
    </row>
    <row r="137" customFormat="false" ht="15" hidden="false" customHeight="false" outlineLevel="0" collapsed="false">
      <c r="B137" s="29"/>
      <c r="C137" s="25"/>
      <c r="D137" s="25"/>
      <c r="E137" s="26"/>
    </row>
    <row r="138" customFormat="false" ht="15" hidden="false" customHeight="false" outlineLevel="0" collapsed="false">
      <c r="B138" s="29"/>
      <c r="C138" s="25"/>
      <c r="D138" s="25"/>
      <c r="E138" s="26"/>
    </row>
    <row r="139" customFormat="false" ht="15" hidden="false" customHeight="false" outlineLevel="0" collapsed="false">
      <c r="B139" s="29"/>
      <c r="C139" s="25"/>
      <c r="D139" s="25"/>
      <c r="E139" s="26"/>
    </row>
    <row r="140" customFormat="false" ht="15" hidden="false" customHeight="false" outlineLevel="0" collapsed="false">
      <c r="B140" s="29"/>
      <c r="C140" s="25"/>
      <c r="D140" s="25"/>
      <c r="E140" s="26"/>
    </row>
    <row r="141" customFormat="false" ht="15" hidden="false" customHeight="false" outlineLevel="0" collapsed="false">
      <c r="B141" s="29"/>
      <c r="C141" s="25"/>
      <c r="D141" s="25"/>
      <c r="E141" s="26"/>
    </row>
    <row r="142" customFormat="false" ht="15" hidden="false" customHeight="false" outlineLevel="0" collapsed="false">
      <c r="B142" s="29"/>
      <c r="C142" s="25"/>
      <c r="D142" s="25"/>
      <c r="E142" s="26"/>
    </row>
    <row r="143" customFormat="false" ht="15" hidden="false" customHeight="false" outlineLevel="0" collapsed="false">
      <c r="B143" s="29"/>
      <c r="C143" s="25"/>
      <c r="D143" s="25"/>
      <c r="E143" s="26"/>
    </row>
    <row r="144" customFormat="false" ht="15" hidden="false" customHeight="false" outlineLevel="0" collapsed="false">
      <c r="B144" s="29"/>
      <c r="C144" s="25"/>
      <c r="D144" s="25"/>
      <c r="E144" s="26"/>
    </row>
    <row r="145" customFormat="false" ht="15" hidden="false" customHeight="false" outlineLevel="0" collapsed="false">
      <c r="B145" s="29"/>
      <c r="C145" s="25"/>
      <c r="D145" s="25"/>
      <c r="E145" s="26"/>
    </row>
    <row r="146" customFormat="false" ht="15" hidden="false" customHeight="false" outlineLevel="0" collapsed="false">
      <c r="B146" s="29"/>
      <c r="C146" s="25"/>
      <c r="D146" s="25"/>
      <c r="E146" s="26"/>
    </row>
    <row r="147" customFormat="false" ht="15" hidden="false" customHeight="false" outlineLevel="0" collapsed="false">
      <c r="B147" s="29"/>
      <c r="C147" s="25"/>
      <c r="D147" s="25"/>
      <c r="E147" s="26"/>
    </row>
    <row r="148" customFormat="false" ht="15" hidden="false" customHeight="false" outlineLevel="0" collapsed="false">
      <c r="B148" s="29"/>
      <c r="C148" s="25"/>
      <c r="D148" s="25"/>
      <c r="E148" s="26"/>
    </row>
    <row r="149" customFormat="false" ht="15" hidden="false" customHeight="false" outlineLevel="0" collapsed="false">
      <c r="B149" s="29"/>
      <c r="C149" s="25"/>
      <c r="D149" s="25"/>
      <c r="E149" s="26"/>
    </row>
    <row r="150" customFormat="false" ht="15" hidden="false" customHeight="false" outlineLevel="0" collapsed="false">
      <c r="B150" s="29"/>
      <c r="C150" s="25"/>
      <c r="D150" s="25"/>
      <c r="E150" s="26"/>
    </row>
    <row r="151" customFormat="false" ht="15" hidden="false" customHeight="false" outlineLevel="0" collapsed="false">
      <c r="B151" s="29"/>
      <c r="C151" s="25"/>
      <c r="D151" s="25"/>
      <c r="E151" s="26"/>
    </row>
    <row r="152" customFormat="false" ht="15" hidden="false" customHeight="false" outlineLevel="0" collapsed="false">
      <c r="B152" s="29"/>
      <c r="C152" s="25"/>
      <c r="D152" s="25"/>
      <c r="E152" s="26"/>
    </row>
    <row r="153" customFormat="false" ht="15" hidden="false" customHeight="false" outlineLevel="0" collapsed="false">
      <c r="B153" s="29"/>
      <c r="C153" s="25"/>
      <c r="D153" s="25"/>
      <c r="E153" s="26"/>
    </row>
    <row r="154" customFormat="false" ht="15" hidden="false" customHeight="false" outlineLevel="0" collapsed="false">
      <c r="B154" s="29"/>
      <c r="C154" s="25"/>
      <c r="D154" s="25"/>
      <c r="E154" s="26"/>
    </row>
    <row r="155" customFormat="false" ht="15" hidden="false" customHeight="false" outlineLevel="0" collapsed="false">
      <c r="B155" s="29"/>
      <c r="C155" s="25"/>
      <c r="D155" s="25"/>
      <c r="E155" s="26"/>
    </row>
    <row r="156" customFormat="false" ht="15" hidden="false" customHeight="false" outlineLevel="0" collapsed="false">
      <c r="B156" s="29"/>
      <c r="C156" s="25"/>
      <c r="D156" s="25"/>
      <c r="E156" s="26"/>
    </row>
    <row r="157" customFormat="false" ht="15" hidden="false" customHeight="false" outlineLevel="0" collapsed="false">
      <c r="B157" s="29"/>
      <c r="C157" s="25"/>
      <c r="D157" s="25"/>
      <c r="E157" s="26"/>
    </row>
    <row r="158" customFormat="false" ht="15" hidden="false" customHeight="false" outlineLevel="0" collapsed="false">
      <c r="B158" s="29"/>
      <c r="C158" s="25"/>
      <c r="D158" s="25"/>
      <c r="E158" s="26"/>
    </row>
    <row r="159" customFormat="false" ht="15" hidden="false" customHeight="false" outlineLevel="0" collapsed="false">
      <c r="B159" s="29"/>
      <c r="C159" s="25"/>
      <c r="D159" s="25"/>
      <c r="E159" s="26"/>
    </row>
    <row r="160" customFormat="false" ht="15" hidden="false" customHeight="false" outlineLevel="0" collapsed="false">
      <c r="B160" s="29"/>
      <c r="C160" s="25"/>
      <c r="D160" s="25"/>
      <c r="E160" s="26"/>
    </row>
    <row r="161" customFormat="false" ht="15" hidden="false" customHeight="false" outlineLevel="0" collapsed="false">
      <c r="B161" s="29"/>
      <c r="C161" s="25"/>
      <c r="D161" s="25"/>
      <c r="E161" s="26"/>
    </row>
    <row r="162" customFormat="false" ht="15" hidden="false" customHeight="false" outlineLevel="0" collapsed="false">
      <c r="B162" s="29"/>
      <c r="C162" s="25"/>
      <c r="D162" s="25"/>
      <c r="E162" s="26"/>
    </row>
    <row r="163" customFormat="false" ht="15" hidden="false" customHeight="false" outlineLevel="0" collapsed="false">
      <c r="B163" s="29"/>
      <c r="C163" s="25"/>
      <c r="D163" s="25"/>
      <c r="E163" s="26"/>
    </row>
    <row r="164" customFormat="false" ht="15" hidden="false" customHeight="false" outlineLevel="0" collapsed="false">
      <c r="B164" s="29"/>
      <c r="C164" s="25"/>
      <c r="D164" s="25"/>
      <c r="E164" s="26"/>
    </row>
    <row r="165" customFormat="false" ht="15" hidden="false" customHeight="false" outlineLevel="0" collapsed="false">
      <c r="B165" s="29"/>
      <c r="C165" s="25"/>
      <c r="D165" s="25"/>
      <c r="E165" s="26"/>
    </row>
    <row r="166" customFormat="false" ht="15" hidden="false" customHeight="false" outlineLevel="0" collapsed="false">
      <c r="B166" s="29"/>
      <c r="C166" s="25"/>
      <c r="D166" s="25"/>
      <c r="E166" s="26"/>
    </row>
    <row r="167" customFormat="false" ht="15" hidden="false" customHeight="false" outlineLevel="0" collapsed="false">
      <c r="B167" s="29"/>
      <c r="C167" s="25"/>
      <c r="D167" s="25"/>
      <c r="E167" s="26"/>
    </row>
    <row r="168" customFormat="false" ht="15" hidden="false" customHeight="false" outlineLevel="0" collapsed="false">
      <c r="B168" s="29"/>
      <c r="C168" s="25"/>
      <c r="D168" s="25"/>
      <c r="E168" s="26"/>
    </row>
    <row r="169" customFormat="false" ht="15" hidden="false" customHeight="false" outlineLevel="0" collapsed="false">
      <c r="B169" s="29"/>
      <c r="C169" s="25"/>
      <c r="D169" s="25"/>
      <c r="E169" s="26"/>
    </row>
    <row r="170" customFormat="false" ht="15" hidden="false" customHeight="false" outlineLevel="0" collapsed="false">
      <c r="B170" s="29"/>
      <c r="C170" s="25"/>
      <c r="D170" s="25"/>
      <c r="E170" s="26"/>
    </row>
    <row r="171" customFormat="false" ht="15" hidden="false" customHeight="false" outlineLevel="0" collapsed="false">
      <c r="B171" s="29"/>
      <c r="C171" s="25"/>
      <c r="D171" s="25"/>
      <c r="E171" s="26"/>
    </row>
    <row r="172" customFormat="false" ht="15" hidden="false" customHeight="false" outlineLevel="0" collapsed="false">
      <c r="B172" s="29"/>
      <c r="C172" s="25"/>
      <c r="D172" s="25"/>
      <c r="E172" s="26"/>
    </row>
    <row r="173" customFormat="false" ht="15" hidden="false" customHeight="false" outlineLevel="0" collapsed="false">
      <c r="B173" s="29"/>
      <c r="C173" s="25"/>
      <c r="D173" s="25"/>
      <c r="E173" s="26"/>
    </row>
    <row r="174" customFormat="false" ht="15" hidden="false" customHeight="false" outlineLevel="0" collapsed="false">
      <c r="B174" s="29"/>
      <c r="C174" s="25"/>
      <c r="D174" s="25"/>
      <c r="E174" s="26"/>
    </row>
    <row r="175" customFormat="false" ht="15" hidden="false" customHeight="false" outlineLevel="0" collapsed="false">
      <c r="B175" s="29"/>
      <c r="C175" s="25"/>
      <c r="D175" s="25"/>
      <c r="E175" s="26"/>
    </row>
    <row r="176" customFormat="false" ht="15" hidden="false" customHeight="false" outlineLevel="0" collapsed="false">
      <c r="B176" s="29"/>
      <c r="C176" s="25"/>
      <c r="D176" s="25"/>
      <c r="E176" s="26"/>
    </row>
    <row r="177" customFormat="false" ht="15" hidden="false" customHeight="false" outlineLevel="0" collapsed="false">
      <c r="B177" s="29"/>
      <c r="C177" s="25"/>
      <c r="D177" s="25"/>
      <c r="E177" s="26"/>
    </row>
    <row r="178" customFormat="false" ht="15" hidden="false" customHeight="false" outlineLevel="0" collapsed="false">
      <c r="B178" s="29"/>
      <c r="C178" s="25"/>
      <c r="D178" s="25"/>
      <c r="E178" s="26"/>
    </row>
    <row r="179" customFormat="false" ht="15" hidden="false" customHeight="false" outlineLevel="0" collapsed="false">
      <c r="B179" s="29"/>
      <c r="C179" s="25"/>
      <c r="D179" s="25"/>
      <c r="E179" s="26"/>
    </row>
    <row r="180" customFormat="false" ht="15" hidden="false" customHeight="false" outlineLevel="0" collapsed="false">
      <c r="B180" s="29"/>
      <c r="C180" s="25"/>
      <c r="D180" s="25"/>
      <c r="E180" s="26"/>
    </row>
    <row r="181" customFormat="false" ht="15" hidden="false" customHeight="false" outlineLevel="0" collapsed="false">
      <c r="B181" s="29"/>
      <c r="C181" s="25"/>
      <c r="D181" s="25"/>
      <c r="E181" s="26"/>
    </row>
    <row r="182" customFormat="false" ht="15" hidden="false" customHeight="false" outlineLevel="0" collapsed="false">
      <c r="B182" s="29"/>
      <c r="C182" s="25"/>
      <c r="D182" s="25"/>
      <c r="E182" s="26"/>
    </row>
    <row r="183" customFormat="false" ht="15" hidden="false" customHeight="false" outlineLevel="0" collapsed="false">
      <c r="B183" s="29"/>
      <c r="C183" s="25"/>
      <c r="D183" s="25"/>
      <c r="E183" s="26"/>
    </row>
    <row r="184" customFormat="false" ht="15" hidden="false" customHeight="false" outlineLevel="0" collapsed="false">
      <c r="B184" s="29"/>
      <c r="C184" s="25"/>
      <c r="D184" s="25"/>
      <c r="E184" s="26"/>
    </row>
    <row r="185" customFormat="false" ht="15" hidden="false" customHeight="false" outlineLevel="0" collapsed="false">
      <c r="B185" s="29"/>
      <c r="C185" s="25"/>
      <c r="D185" s="25"/>
      <c r="E185" s="26"/>
    </row>
    <row r="186" customFormat="false" ht="15" hidden="false" customHeight="false" outlineLevel="0" collapsed="false">
      <c r="B186" s="29"/>
      <c r="C186" s="25"/>
      <c r="D186" s="25"/>
      <c r="E186" s="26"/>
    </row>
    <row r="187" customFormat="false" ht="15" hidden="false" customHeight="false" outlineLevel="0" collapsed="false">
      <c r="B187" s="29"/>
      <c r="C187" s="25"/>
      <c r="D187" s="25"/>
      <c r="E187" s="26"/>
    </row>
    <row r="188" customFormat="false" ht="15" hidden="false" customHeight="false" outlineLevel="0" collapsed="false">
      <c r="B188" s="29"/>
      <c r="C188" s="25"/>
      <c r="D188" s="25"/>
      <c r="E188" s="26"/>
    </row>
    <row r="189" customFormat="false" ht="15" hidden="false" customHeight="false" outlineLevel="0" collapsed="false">
      <c r="B189" s="29"/>
      <c r="C189" s="25"/>
      <c r="D189" s="25"/>
      <c r="E189" s="26"/>
    </row>
    <row r="190" customFormat="false" ht="15" hidden="false" customHeight="false" outlineLevel="0" collapsed="false">
      <c r="B190" s="29"/>
      <c r="C190" s="25"/>
      <c r="D190" s="25"/>
      <c r="E190" s="26"/>
    </row>
    <row r="191" customFormat="false" ht="15" hidden="false" customHeight="false" outlineLevel="0" collapsed="false">
      <c r="B191" s="29"/>
      <c r="C191" s="25"/>
      <c r="D191" s="25"/>
      <c r="E191" s="26"/>
    </row>
    <row r="192" customFormat="false" ht="15" hidden="false" customHeight="false" outlineLevel="0" collapsed="false">
      <c r="B192" s="29"/>
      <c r="C192" s="25"/>
      <c r="D192" s="25"/>
      <c r="E192" s="26"/>
    </row>
    <row r="193" customFormat="false" ht="15" hidden="false" customHeight="false" outlineLevel="0" collapsed="false">
      <c r="B193" s="29"/>
      <c r="C193" s="25"/>
      <c r="D193" s="25"/>
      <c r="E193" s="26"/>
    </row>
    <row r="194" customFormat="false" ht="15" hidden="false" customHeight="false" outlineLevel="0" collapsed="false">
      <c r="B194" s="29"/>
      <c r="C194" s="25"/>
      <c r="D194" s="25"/>
      <c r="E194" s="26"/>
    </row>
    <row r="195" customFormat="false" ht="15" hidden="false" customHeight="false" outlineLevel="0" collapsed="false">
      <c r="B195" s="29"/>
      <c r="C195" s="25"/>
      <c r="D195" s="25"/>
      <c r="E195" s="26"/>
    </row>
    <row r="196" customFormat="false" ht="15" hidden="false" customHeight="false" outlineLevel="0" collapsed="false">
      <c r="B196" s="29"/>
      <c r="C196" s="25"/>
      <c r="D196" s="25"/>
      <c r="E196" s="26"/>
    </row>
    <row r="197" customFormat="false" ht="15" hidden="false" customHeight="false" outlineLevel="0" collapsed="false">
      <c r="B197" s="29"/>
      <c r="C197" s="25"/>
      <c r="D197" s="25"/>
      <c r="E197" s="26"/>
    </row>
    <row r="198" customFormat="false" ht="15" hidden="false" customHeight="false" outlineLevel="0" collapsed="false">
      <c r="B198" s="29"/>
      <c r="C198" s="25"/>
      <c r="D198" s="25"/>
      <c r="E198" s="26"/>
    </row>
    <row r="199" customFormat="false" ht="15" hidden="false" customHeight="false" outlineLevel="0" collapsed="false">
      <c r="B199" s="29"/>
      <c r="C199" s="25"/>
      <c r="D199" s="25"/>
      <c r="E199" s="26"/>
    </row>
    <row r="200" customFormat="false" ht="15" hidden="false" customHeight="false" outlineLevel="0" collapsed="false">
      <c r="B200" s="29"/>
      <c r="C200" s="25"/>
      <c r="D200" s="25"/>
      <c r="E200" s="26"/>
    </row>
    <row r="201" customFormat="false" ht="15" hidden="false" customHeight="false" outlineLevel="0" collapsed="false">
      <c r="B201" s="29"/>
      <c r="C201" s="25"/>
      <c r="D201" s="25"/>
      <c r="E201" s="26"/>
    </row>
    <row r="202" customFormat="false" ht="15" hidden="false" customHeight="false" outlineLevel="0" collapsed="false">
      <c r="B202" s="29"/>
      <c r="C202" s="25"/>
      <c r="D202" s="25"/>
      <c r="E202" s="26"/>
    </row>
    <row r="203" customFormat="false" ht="15" hidden="false" customHeight="false" outlineLevel="0" collapsed="false">
      <c r="B203" s="29"/>
      <c r="C203" s="25"/>
      <c r="D203" s="25"/>
      <c r="E203" s="26"/>
    </row>
    <row r="204" customFormat="false" ht="15" hidden="false" customHeight="false" outlineLevel="0" collapsed="false">
      <c r="B204" s="29"/>
      <c r="C204" s="25"/>
      <c r="D204" s="25"/>
      <c r="E204" s="26"/>
    </row>
    <row r="205" customFormat="false" ht="15" hidden="false" customHeight="false" outlineLevel="0" collapsed="false">
      <c r="B205" s="29"/>
      <c r="C205" s="25"/>
      <c r="D205" s="25"/>
      <c r="E205" s="26"/>
    </row>
  </sheetData>
  <dataValidations count="1">
    <dataValidation allowBlank="true" errorStyle="stop" operator="between" showDropDown="false" showErrorMessage="false" showInputMessage="false" sqref="D6:D205" type="list">
      <formula1>"Gifts,Food &amp; drink,Decorations,Cards &amp; postage,Wrapping,Travel,Outfits,Parties &amp; events,Charity,Other"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H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22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  <c r="H1" s="2"/>
    </row>
    <row r="2" customFormat="false" ht="31.5" hidden="false" customHeight="true" outlineLevel="0" collapsed="false">
      <c r="A2" s="4"/>
      <c r="B2" s="5" t="s">
        <v>105</v>
      </c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4"/>
      <c r="B3" s="6" t="s">
        <v>106</v>
      </c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B5" s="12" t="s">
        <v>31</v>
      </c>
      <c r="C5" s="19" t="str">
        <f aca="false">COUNTIF(E8:E207,"✓")&amp;" of "&amp;COUNTA(B8:B207)</f>
        <v>1 of 2</v>
      </c>
    </row>
    <row r="7" customFormat="false" ht="21.75" hidden="false" customHeight="true" outlineLevel="0" collapsed="false">
      <c r="B7" s="18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52</v>
      </c>
    </row>
    <row r="8" customFormat="false" ht="15" hidden="false" customHeight="false" outlineLevel="0" collapsed="false">
      <c r="B8" s="25" t="s">
        <v>112</v>
      </c>
      <c r="C8" s="25" t="s">
        <v>113</v>
      </c>
      <c r="D8" s="13" t="s">
        <v>114</v>
      </c>
      <c r="E8" s="13" t="s">
        <v>115</v>
      </c>
      <c r="F8" s="13"/>
      <c r="G8" s="25"/>
    </row>
    <row r="9" customFormat="false" ht="15" hidden="false" customHeight="false" outlineLevel="0" collapsed="false">
      <c r="B9" s="25" t="s">
        <v>116</v>
      </c>
      <c r="C9" s="25" t="s">
        <v>117</v>
      </c>
      <c r="D9" s="13" t="s">
        <v>118</v>
      </c>
      <c r="E9" s="13"/>
      <c r="F9" s="13" t="s">
        <v>115</v>
      </c>
      <c r="G9" s="25"/>
    </row>
    <row r="10" customFormat="false" ht="15" hidden="false" customHeight="false" outlineLevel="0" collapsed="false">
      <c r="B10" s="25"/>
      <c r="C10" s="25"/>
      <c r="D10" s="13"/>
      <c r="E10" s="13"/>
      <c r="F10" s="13"/>
      <c r="G10" s="25"/>
    </row>
    <row r="11" customFormat="false" ht="15" hidden="false" customHeight="false" outlineLevel="0" collapsed="false">
      <c r="B11" s="25"/>
      <c r="C11" s="25"/>
      <c r="D11" s="13"/>
      <c r="E11" s="13"/>
      <c r="F11" s="13"/>
      <c r="G11" s="25"/>
    </row>
    <row r="12" customFormat="false" ht="15" hidden="false" customHeight="false" outlineLevel="0" collapsed="false">
      <c r="B12" s="25"/>
      <c r="C12" s="25"/>
      <c r="D12" s="13"/>
      <c r="E12" s="13"/>
      <c r="F12" s="13"/>
      <c r="G12" s="25"/>
    </row>
    <row r="13" customFormat="false" ht="15" hidden="false" customHeight="false" outlineLevel="0" collapsed="false">
      <c r="B13" s="25"/>
      <c r="C13" s="25"/>
      <c r="D13" s="13"/>
      <c r="E13" s="13"/>
      <c r="F13" s="13"/>
      <c r="G13" s="25"/>
    </row>
    <row r="14" customFormat="false" ht="15" hidden="false" customHeight="false" outlineLevel="0" collapsed="false">
      <c r="B14" s="25"/>
      <c r="C14" s="25"/>
      <c r="D14" s="13"/>
      <c r="E14" s="13"/>
      <c r="F14" s="13"/>
      <c r="G14" s="25"/>
    </row>
    <row r="15" customFormat="false" ht="15" hidden="false" customHeight="false" outlineLevel="0" collapsed="false">
      <c r="B15" s="25"/>
      <c r="C15" s="25"/>
      <c r="D15" s="13"/>
      <c r="E15" s="13"/>
      <c r="F15" s="13"/>
      <c r="G15" s="25"/>
    </row>
    <row r="16" customFormat="false" ht="15" hidden="false" customHeight="false" outlineLevel="0" collapsed="false">
      <c r="B16" s="25"/>
      <c r="C16" s="25"/>
      <c r="D16" s="13"/>
      <c r="E16" s="13"/>
      <c r="F16" s="13"/>
      <c r="G16" s="25"/>
    </row>
    <row r="17" customFormat="false" ht="15" hidden="false" customHeight="false" outlineLevel="0" collapsed="false">
      <c r="B17" s="25"/>
      <c r="C17" s="25"/>
      <c r="D17" s="13"/>
      <c r="E17" s="13"/>
      <c r="F17" s="13"/>
      <c r="G17" s="25"/>
    </row>
    <row r="18" customFormat="false" ht="15" hidden="false" customHeight="false" outlineLevel="0" collapsed="false">
      <c r="B18" s="25"/>
      <c r="C18" s="25"/>
      <c r="D18" s="13"/>
      <c r="E18" s="13"/>
      <c r="F18" s="13"/>
      <c r="G18" s="25"/>
    </row>
    <row r="19" customFormat="false" ht="15" hidden="false" customHeight="false" outlineLevel="0" collapsed="false">
      <c r="B19" s="25"/>
      <c r="C19" s="25"/>
      <c r="D19" s="13"/>
      <c r="E19" s="13"/>
      <c r="F19" s="13"/>
      <c r="G19" s="25"/>
    </row>
    <row r="20" customFormat="false" ht="15" hidden="false" customHeight="false" outlineLevel="0" collapsed="false">
      <c r="B20" s="25"/>
      <c r="C20" s="25"/>
      <c r="D20" s="13"/>
      <c r="E20" s="13"/>
      <c r="F20" s="13"/>
      <c r="G20" s="25"/>
    </row>
    <row r="21" customFormat="false" ht="15" hidden="false" customHeight="false" outlineLevel="0" collapsed="false">
      <c r="B21" s="25"/>
      <c r="C21" s="25"/>
      <c r="D21" s="13"/>
      <c r="E21" s="13"/>
      <c r="F21" s="13"/>
      <c r="G21" s="25"/>
    </row>
    <row r="22" customFormat="false" ht="15" hidden="false" customHeight="false" outlineLevel="0" collapsed="false">
      <c r="B22" s="25"/>
      <c r="C22" s="25"/>
      <c r="D22" s="13"/>
      <c r="E22" s="13"/>
      <c r="F22" s="13"/>
      <c r="G22" s="25"/>
    </row>
    <row r="23" customFormat="false" ht="15" hidden="false" customHeight="false" outlineLevel="0" collapsed="false">
      <c r="B23" s="25"/>
      <c r="C23" s="25"/>
      <c r="D23" s="13"/>
      <c r="E23" s="13"/>
      <c r="F23" s="13"/>
      <c r="G23" s="25"/>
    </row>
    <row r="24" customFormat="false" ht="15" hidden="false" customHeight="false" outlineLevel="0" collapsed="false">
      <c r="B24" s="25"/>
      <c r="C24" s="25"/>
      <c r="D24" s="13"/>
      <c r="E24" s="13"/>
      <c r="F24" s="13"/>
      <c r="G24" s="25"/>
    </row>
    <row r="25" customFormat="false" ht="15" hidden="false" customHeight="false" outlineLevel="0" collapsed="false">
      <c r="B25" s="25"/>
      <c r="C25" s="25"/>
      <c r="D25" s="13"/>
      <c r="E25" s="13"/>
      <c r="F25" s="13"/>
      <c r="G25" s="25"/>
    </row>
    <row r="26" customFormat="false" ht="15" hidden="false" customHeight="false" outlineLevel="0" collapsed="false">
      <c r="B26" s="25"/>
      <c r="C26" s="25"/>
      <c r="D26" s="13"/>
      <c r="E26" s="13"/>
      <c r="F26" s="13"/>
      <c r="G26" s="25"/>
    </row>
    <row r="27" customFormat="false" ht="15" hidden="false" customHeight="false" outlineLevel="0" collapsed="false">
      <c r="B27" s="25"/>
      <c r="C27" s="25"/>
      <c r="D27" s="13"/>
      <c r="E27" s="13"/>
      <c r="F27" s="13"/>
      <c r="G27" s="25"/>
    </row>
    <row r="28" customFormat="false" ht="15" hidden="false" customHeight="false" outlineLevel="0" collapsed="false">
      <c r="B28" s="25"/>
      <c r="C28" s="25"/>
      <c r="D28" s="13"/>
      <c r="E28" s="13"/>
      <c r="F28" s="13"/>
      <c r="G28" s="25"/>
    </row>
    <row r="29" customFormat="false" ht="15" hidden="false" customHeight="false" outlineLevel="0" collapsed="false">
      <c r="B29" s="25"/>
      <c r="C29" s="25"/>
      <c r="D29" s="13"/>
      <c r="E29" s="13"/>
      <c r="F29" s="13"/>
      <c r="G29" s="25"/>
    </row>
    <row r="30" customFormat="false" ht="15" hidden="false" customHeight="false" outlineLevel="0" collapsed="false">
      <c r="B30" s="25"/>
      <c r="C30" s="25"/>
      <c r="D30" s="13"/>
      <c r="E30" s="13"/>
      <c r="F30" s="13"/>
      <c r="G30" s="25"/>
    </row>
    <row r="31" customFormat="false" ht="15" hidden="false" customHeight="false" outlineLevel="0" collapsed="false">
      <c r="B31" s="25"/>
      <c r="C31" s="25"/>
      <c r="D31" s="13"/>
      <c r="E31" s="13"/>
      <c r="F31" s="13"/>
      <c r="G31" s="25"/>
    </row>
    <row r="32" customFormat="false" ht="15" hidden="false" customHeight="false" outlineLevel="0" collapsed="false">
      <c r="B32" s="25"/>
      <c r="C32" s="25"/>
      <c r="D32" s="13"/>
      <c r="E32" s="13"/>
      <c r="F32" s="13"/>
      <c r="G32" s="25"/>
    </row>
    <row r="33" customFormat="false" ht="15" hidden="false" customHeight="false" outlineLevel="0" collapsed="false">
      <c r="B33" s="25"/>
      <c r="C33" s="25"/>
      <c r="D33" s="13"/>
      <c r="E33" s="13"/>
      <c r="F33" s="13"/>
      <c r="G33" s="25"/>
    </row>
    <row r="34" customFormat="false" ht="15" hidden="false" customHeight="false" outlineLevel="0" collapsed="false">
      <c r="B34" s="25"/>
      <c r="C34" s="25"/>
      <c r="D34" s="13"/>
      <c r="E34" s="13"/>
      <c r="F34" s="13"/>
      <c r="G34" s="25"/>
    </row>
    <row r="35" customFormat="false" ht="15" hidden="false" customHeight="false" outlineLevel="0" collapsed="false">
      <c r="B35" s="25"/>
      <c r="C35" s="25"/>
      <c r="D35" s="13"/>
      <c r="E35" s="13"/>
      <c r="F35" s="13"/>
      <c r="G35" s="25"/>
    </row>
    <row r="36" customFormat="false" ht="15" hidden="false" customHeight="false" outlineLevel="0" collapsed="false">
      <c r="B36" s="25"/>
      <c r="C36" s="25"/>
      <c r="D36" s="13"/>
      <c r="E36" s="13"/>
      <c r="F36" s="13"/>
      <c r="G36" s="25"/>
    </row>
    <row r="37" customFormat="false" ht="15" hidden="false" customHeight="false" outlineLevel="0" collapsed="false">
      <c r="B37" s="25"/>
      <c r="C37" s="25"/>
      <c r="D37" s="13"/>
      <c r="E37" s="13"/>
      <c r="F37" s="13"/>
      <c r="G37" s="25"/>
    </row>
    <row r="38" customFormat="false" ht="15" hidden="false" customHeight="false" outlineLevel="0" collapsed="false">
      <c r="B38" s="25"/>
      <c r="C38" s="25"/>
      <c r="D38" s="13"/>
      <c r="E38" s="13"/>
      <c r="F38" s="13"/>
      <c r="G38" s="25"/>
    </row>
    <row r="39" customFormat="false" ht="15" hidden="false" customHeight="false" outlineLevel="0" collapsed="false">
      <c r="B39" s="25"/>
      <c r="C39" s="25"/>
      <c r="D39" s="13"/>
      <c r="E39" s="13"/>
      <c r="F39" s="13"/>
      <c r="G39" s="25"/>
    </row>
    <row r="40" customFormat="false" ht="15" hidden="false" customHeight="false" outlineLevel="0" collapsed="false">
      <c r="B40" s="25"/>
      <c r="C40" s="25"/>
      <c r="D40" s="13"/>
      <c r="E40" s="13"/>
      <c r="F40" s="13"/>
      <c r="G40" s="25"/>
    </row>
    <row r="41" customFormat="false" ht="15" hidden="false" customHeight="false" outlineLevel="0" collapsed="false">
      <c r="B41" s="25"/>
      <c r="C41" s="25"/>
      <c r="D41" s="13"/>
      <c r="E41" s="13"/>
      <c r="F41" s="13"/>
      <c r="G41" s="25"/>
    </row>
    <row r="42" customFormat="false" ht="15" hidden="false" customHeight="false" outlineLevel="0" collapsed="false">
      <c r="B42" s="25"/>
      <c r="C42" s="25"/>
      <c r="D42" s="13"/>
      <c r="E42" s="13"/>
      <c r="F42" s="13"/>
      <c r="G42" s="25"/>
    </row>
    <row r="43" customFormat="false" ht="15" hidden="false" customHeight="false" outlineLevel="0" collapsed="false">
      <c r="B43" s="25"/>
      <c r="C43" s="25"/>
      <c r="D43" s="13"/>
      <c r="E43" s="13"/>
      <c r="F43" s="13"/>
      <c r="G43" s="25"/>
    </row>
    <row r="44" customFormat="false" ht="15" hidden="false" customHeight="false" outlineLevel="0" collapsed="false">
      <c r="B44" s="25"/>
      <c r="C44" s="25"/>
      <c r="D44" s="13"/>
      <c r="E44" s="13"/>
      <c r="F44" s="13"/>
      <c r="G44" s="25"/>
    </row>
    <row r="45" customFormat="false" ht="15" hidden="false" customHeight="false" outlineLevel="0" collapsed="false">
      <c r="B45" s="25"/>
      <c r="C45" s="25"/>
      <c r="D45" s="13"/>
      <c r="E45" s="13"/>
      <c r="F45" s="13"/>
      <c r="G45" s="25"/>
    </row>
    <row r="46" customFormat="false" ht="15" hidden="false" customHeight="false" outlineLevel="0" collapsed="false">
      <c r="B46" s="25"/>
      <c r="C46" s="25"/>
      <c r="D46" s="13"/>
      <c r="E46" s="13"/>
      <c r="F46" s="13"/>
      <c r="G46" s="25"/>
    </row>
    <row r="47" customFormat="false" ht="15" hidden="false" customHeight="false" outlineLevel="0" collapsed="false">
      <c r="B47" s="25"/>
      <c r="C47" s="25"/>
      <c r="D47" s="13"/>
      <c r="E47" s="13"/>
      <c r="F47" s="13"/>
      <c r="G47" s="25"/>
    </row>
    <row r="48" customFormat="false" ht="15" hidden="false" customHeight="false" outlineLevel="0" collapsed="false">
      <c r="B48" s="25"/>
      <c r="C48" s="25"/>
      <c r="D48" s="13"/>
      <c r="E48" s="13"/>
      <c r="F48" s="13"/>
      <c r="G48" s="25"/>
    </row>
    <row r="49" customFormat="false" ht="15" hidden="false" customHeight="false" outlineLevel="0" collapsed="false">
      <c r="B49" s="25"/>
      <c r="C49" s="25"/>
      <c r="D49" s="13"/>
      <c r="E49" s="13"/>
      <c r="F49" s="13"/>
      <c r="G49" s="25"/>
    </row>
    <row r="50" customFormat="false" ht="15" hidden="false" customHeight="false" outlineLevel="0" collapsed="false">
      <c r="B50" s="25"/>
      <c r="C50" s="25"/>
      <c r="D50" s="13"/>
      <c r="E50" s="13"/>
      <c r="F50" s="13"/>
      <c r="G50" s="25"/>
    </row>
    <row r="51" customFormat="false" ht="15" hidden="false" customHeight="false" outlineLevel="0" collapsed="false">
      <c r="B51" s="25"/>
      <c r="C51" s="25"/>
      <c r="D51" s="13"/>
      <c r="E51" s="13"/>
      <c r="F51" s="13"/>
      <c r="G51" s="25"/>
    </row>
    <row r="52" customFormat="false" ht="15" hidden="false" customHeight="false" outlineLevel="0" collapsed="false">
      <c r="B52" s="25"/>
      <c r="C52" s="25"/>
      <c r="D52" s="13"/>
      <c r="E52" s="13"/>
      <c r="F52" s="13"/>
      <c r="G52" s="25"/>
    </row>
    <row r="53" customFormat="false" ht="15" hidden="false" customHeight="false" outlineLevel="0" collapsed="false">
      <c r="B53" s="25"/>
      <c r="C53" s="25"/>
      <c r="D53" s="13"/>
      <c r="E53" s="13"/>
      <c r="F53" s="13"/>
      <c r="G53" s="25"/>
    </row>
    <row r="54" customFormat="false" ht="15" hidden="false" customHeight="false" outlineLevel="0" collapsed="false">
      <c r="B54" s="25"/>
      <c r="C54" s="25"/>
      <c r="D54" s="13"/>
      <c r="E54" s="13"/>
      <c r="F54" s="13"/>
      <c r="G54" s="25"/>
    </row>
    <row r="55" customFormat="false" ht="15" hidden="false" customHeight="false" outlineLevel="0" collapsed="false">
      <c r="B55" s="25"/>
      <c r="C55" s="25"/>
      <c r="D55" s="13"/>
      <c r="E55" s="13"/>
      <c r="F55" s="13"/>
      <c r="G55" s="25"/>
    </row>
    <row r="56" customFormat="false" ht="15" hidden="false" customHeight="false" outlineLevel="0" collapsed="false">
      <c r="B56" s="25"/>
      <c r="C56" s="25"/>
      <c r="D56" s="13"/>
      <c r="E56" s="13"/>
      <c r="F56" s="13"/>
      <c r="G56" s="25"/>
    </row>
    <row r="57" customFormat="false" ht="15" hidden="false" customHeight="false" outlineLevel="0" collapsed="false">
      <c r="B57" s="25"/>
      <c r="C57" s="25"/>
      <c r="D57" s="13"/>
      <c r="E57" s="13"/>
      <c r="F57" s="13"/>
      <c r="G57" s="25"/>
    </row>
    <row r="58" customFormat="false" ht="15" hidden="false" customHeight="false" outlineLevel="0" collapsed="false">
      <c r="B58" s="25"/>
      <c r="C58" s="25"/>
      <c r="D58" s="13"/>
      <c r="E58" s="13"/>
      <c r="F58" s="13"/>
      <c r="G58" s="25"/>
    </row>
    <row r="59" customFormat="false" ht="15" hidden="false" customHeight="false" outlineLevel="0" collapsed="false">
      <c r="B59" s="25"/>
      <c r="C59" s="25"/>
      <c r="D59" s="13"/>
      <c r="E59" s="13"/>
      <c r="F59" s="13"/>
      <c r="G59" s="25"/>
    </row>
    <row r="60" customFormat="false" ht="15" hidden="false" customHeight="false" outlineLevel="0" collapsed="false">
      <c r="B60" s="25"/>
      <c r="C60" s="25"/>
      <c r="D60" s="13"/>
      <c r="E60" s="13"/>
      <c r="F60" s="13"/>
      <c r="G60" s="25"/>
    </row>
    <row r="61" customFormat="false" ht="15" hidden="false" customHeight="false" outlineLevel="0" collapsed="false">
      <c r="B61" s="25"/>
      <c r="C61" s="25"/>
      <c r="D61" s="13"/>
      <c r="E61" s="13"/>
      <c r="F61" s="13"/>
      <c r="G61" s="25"/>
    </row>
    <row r="62" customFormat="false" ht="15" hidden="false" customHeight="false" outlineLevel="0" collapsed="false">
      <c r="B62" s="25"/>
      <c r="C62" s="25"/>
      <c r="D62" s="13"/>
      <c r="E62" s="13"/>
      <c r="F62" s="13"/>
      <c r="G62" s="25"/>
    </row>
    <row r="63" customFormat="false" ht="15" hidden="false" customHeight="false" outlineLevel="0" collapsed="false">
      <c r="B63" s="25"/>
      <c r="C63" s="25"/>
      <c r="D63" s="13"/>
      <c r="E63" s="13"/>
      <c r="F63" s="13"/>
      <c r="G63" s="25"/>
    </row>
    <row r="64" customFormat="false" ht="15" hidden="false" customHeight="false" outlineLevel="0" collapsed="false">
      <c r="B64" s="25"/>
      <c r="C64" s="25"/>
      <c r="D64" s="13"/>
      <c r="E64" s="13"/>
      <c r="F64" s="13"/>
      <c r="G64" s="25"/>
    </row>
    <row r="65" customFormat="false" ht="15" hidden="false" customHeight="false" outlineLevel="0" collapsed="false">
      <c r="B65" s="25"/>
      <c r="C65" s="25"/>
      <c r="D65" s="13"/>
      <c r="E65" s="13"/>
      <c r="F65" s="13"/>
      <c r="G65" s="25"/>
    </row>
    <row r="66" customFormat="false" ht="15" hidden="false" customHeight="false" outlineLevel="0" collapsed="false">
      <c r="B66" s="25"/>
      <c r="C66" s="25"/>
      <c r="D66" s="13"/>
      <c r="E66" s="13"/>
      <c r="F66" s="13"/>
      <c r="G66" s="25"/>
    </row>
    <row r="67" customFormat="false" ht="15" hidden="false" customHeight="false" outlineLevel="0" collapsed="false">
      <c r="B67" s="25"/>
      <c r="C67" s="25"/>
      <c r="D67" s="13"/>
      <c r="E67" s="13"/>
      <c r="F67" s="13"/>
      <c r="G67" s="25"/>
    </row>
    <row r="68" customFormat="false" ht="15" hidden="false" customHeight="false" outlineLevel="0" collapsed="false">
      <c r="B68" s="25"/>
      <c r="C68" s="25"/>
      <c r="D68" s="13"/>
      <c r="E68" s="13"/>
      <c r="F68" s="13"/>
      <c r="G68" s="25"/>
    </row>
    <row r="69" customFormat="false" ht="15" hidden="false" customHeight="false" outlineLevel="0" collapsed="false">
      <c r="B69" s="25"/>
      <c r="C69" s="25"/>
      <c r="D69" s="13"/>
      <c r="E69" s="13"/>
      <c r="F69" s="13"/>
      <c r="G69" s="25"/>
    </row>
    <row r="70" customFormat="false" ht="15" hidden="false" customHeight="false" outlineLevel="0" collapsed="false">
      <c r="B70" s="25"/>
      <c r="C70" s="25"/>
      <c r="D70" s="13"/>
      <c r="E70" s="13"/>
      <c r="F70" s="13"/>
      <c r="G70" s="25"/>
    </row>
    <row r="71" customFormat="false" ht="15" hidden="false" customHeight="false" outlineLevel="0" collapsed="false">
      <c r="B71" s="25"/>
      <c r="C71" s="25"/>
      <c r="D71" s="13"/>
      <c r="E71" s="13"/>
      <c r="F71" s="13"/>
      <c r="G71" s="25"/>
    </row>
    <row r="72" customFormat="false" ht="15" hidden="false" customHeight="false" outlineLevel="0" collapsed="false">
      <c r="B72" s="25"/>
      <c r="C72" s="25"/>
      <c r="D72" s="13"/>
      <c r="E72" s="13"/>
      <c r="F72" s="13"/>
      <c r="G72" s="25"/>
    </row>
    <row r="73" customFormat="false" ht="15" hidden="false" customHeight="false" outlineLevel="0" collapsed="false">
      <c r="B73" s="25"/>
      <c r="C73" s="25"/>
      <c r="D73" s="13"/>
      <c r="E73" s="13"/>
      <c r="F73" s="13"/>
      <c r="G73" s="25"/>
    </row>
    <row r="74" customFormat="false" ht="15" hidden="false" customHeight="false" outlineLevel="0" collapsed="false">
      <c r="B74" s="25"/>
      <c r="C74" s="25"/>
      <c r="D74" s="13"/>
      <c r="E74" s="13"/>
      <c r="F74" s="13"/>
      <c r="G74" s="25"/>
    </row>
    <row r="75" customFormat="false" ht="15" hidden="false" customHeight="false" outlineLevel="0" collapsed="false">
      <c r="B75" s="25"/>
      <c r="C75" s="25"/>
      <c r="D75" s="13"/>
      <c r="E75" s="13"/>
      <c r="F75" s="13"/>
      <c r="G75" s="25"/>
    </row>
    <row r="76" customFormat="false" ht="15" hidden="false" customHeight="false" outlineLevel="0" collapsed="false">
      <c r="B76" s="25"/>
      <c r="C76" s="25"/>
      <c r="D76" s="13"/>
      <c r="E76" s="13"/>
      <c r="F76" s="13"/>
      <c r="G76" s="25"/>
    </row>
    <row r="77" customFormat="false" ht="15" hidden="false" customHeight="false" outlineLevel="0" collapsed="false">
      <c r="B77" s="25"/>
      <c r="C77" s="25"/>
      <c r="D77" s="13"/>
      <c r="E77" s="13"/>
      <c r="F77" s="13"/>
      <c r="G77" s="25"/>
    </row>
    <row r="78" customFormat="false" ht="15" hidden="false" customHeight="false" outlineLevel="0" collapsed="false">
      <c r="B78" s="25"/>
      <c r="C78" s="25"/>
      <c r="D78" s="13"/>
      <c r="E78" s="13"/>
      <c r="F78" s="13"/>
      <c r="G78" s="25"/>
    </row>
    <row r="79" customFormat="false" ht="15" hidden="false" customHeight="false" outlineLevel="0" collapsed="false">
      <c r="B79" s="25"/>
      <c r="C79" s="25"/>
      <c r="D79" s="13"/>
      <c r="E79" s="13"/>
      <c r="F79" s="13"/>
      <c r="G79" s="25"/>
    </row>
    <row r="80" customFormat="false" ht="15" hidden="false" customHeight="false" outlineLevel="0" collapsed="false">
      <c r="B80" s="25"/>
      <c r="C80" s="25"/>
      <c r="D80" s="13"/>
      <c r="E80" s="13"/>
      <c r="F80" s="13"/>
      <c r="G80" s="25"/>
    </row>
    <row r="81" customFormat="false" ht="15" hidden="false" customHeight="false" outlineLevel="0" collapsed="false">
      <c r="B81" s="25"/>
      <c r="C81" s="25"/>
      <c r="D81" s="13"/>
      <c r="E81" s="13"/>
      <c r="F81" s="13"/>
      <c r="G81" s="25"/>
    </row>
    <row r="82" customFormat="false" ht="15" hidden="false" customHeight="false" outlineLevel="0" collapsed="false">
      <c r="B82" s="25"/>
      <c r="C82" s="25"/>
      <c r="D82" s="13"/>
      <c r="E82" s="13"/>
      <c r="F82" s="13"/>
      <c r="G82" s="25"/>
    </row>
    <row r="83" customFormat="false" ht="15" hidden="false" customHeight="false" outlineLevel="0" collapsed="false">
      <c r="B83" s="25"/>
      <c r="C83" s="25"/>
      <c r="D83" s="13"/>
      <c r="E83" s="13"/>
      <c r="F83" s="13"/>
      <c r="G83" s="25"/>
    </row>
    <row r="84" customFormat="false" ht="15" hidden="false" customHeight="false" outlineLevel="0" collapsed="false">
      <c r="B84" s="25"/>
      <c r="C84" s="25"/>
      <c r="D84" s="13"/>
      <c r="E84" s="13"/>
      <c r="F84" s="13"/>
      <c r="G84" s="25"/>
    </row>
    <row r="85" customFormat="false" ht="15" hidden="false" customHeight="false" outlineLevel="0" collapsed="false">
      <c r="B85" s="25"/>
      <c r="C85" s="25"/>
      <c r="D85" s="13"/>
      <c r="E85" s="13"/>
      <c r="F85" s="13"/>
      <c r="G85" s="25"/>
    </row>
    <row r="86" customFormat="false" ht="15" hidden="false" customHeight="false" outlineLevel="0" collapsed="false">
      <c r="B86" s="25"/>
      <c r="C86" s="25"/>
      <c r="D86" s="13"/>
      <c r="E86" s="13"/>
      <c r="F86" s="13"/>
      <c r="G86" s="25"/>
    </row>
    <row r="87" customFormat="false" ht="15" hidden="false" customHeight="false" outlineLevel="0" collapsed="false">
      <c r="B87" s="25"/>
      <c r="C87" s="25"/>
      <c r="D87" s="13"/>
      <c r="E87" s="13"/>
      <c r="F87" s="13"/>
      <c r="G87" s="25"/>
    </row>
    <row r="88" customFormat="false" ht="15" hidden="false" customHeight="false" outlineLevel="0" collapsed="false">
      <c r="B88" s="25"/>
      <c r="C88" s="25"/>
      <c r="D88" s="13"/>
      <c r="E88" s="13"/>
      <c r="F88" s="13"/>
      <c r="G88" s="25"/>
    </row>
    <row r="89" customFormat="false" ht="15" hidden="false" customHeight="false" outlineLevel="0" collapsed="false">
      <c r="B89" s="25"/>
      <c r="C89" s="25"/>
      <c r="D89" s="13"/>
      <c r="E89" s="13"/>
      <c r="F89" s="13"/>
      <c r="G89" s="25"/>
    </row>
    <row r="90" customFormat="false" ht="15" hidden="false" customHeight="false" outlineLevel="0" collapsed="false">
      <c r="B90" s="25"/>
      <c r="C90" s="25"/>
      <c r="D90" s="13"/>
      <c r="E90" s="13"/>
      <c r="F90" s="13"/>
      <c r="G90" s="25"/>
    </row>
    <row r="91" customFormat="false" ht="15" hidden="false" customHeight="false" outlineLevel="0" collapsed="false">
      <c r="B91" s="25"/>
      <c r="C91" s="25"/>
      <c r="D91" s="13"/>
      <c r="E91" s="13"/>
      <c r="F91" s="13"/>
      <c r="G91" s="25"/>
    </row>
    <row r="92" customFormat="false" ht="15" hidden="false" customHeight="false" outlineLevel="0" collapsed="false">
      <c r="B92" s="25"/>
      <c r="C92" s="25"/>
      <c r="D92" s="13"/>
      <c r="E92" s="13"/>
      <c r="F92" s="13"/>
      <c r="G92" s="25"/>
    </row>
    <row r="93" customFormat="false" ht="15" hidden="false" customHeight="false" outlineLevel="0" collapsed="false">
      <c r="B93" s="25"/>
      <c r="C93" s="25"/>
      <c r="D93" s="13"/>
      <c r="E93" s="13"/>
      <c r="F93" s="13"/>
      <c r="G93" s="25"/>
    </row>
    <row r="94" customFormat="false" ht="15" hidden="false" customHeight="false" outlineLevel="0" collapsed="false">
      <c r="B94" s="25"/>
      <c r="C94" s="25"/>
      <c r="D94" s="13"/>
      <c r="E94" s="13"/>
      <c r="F94" s="13"/>
      <c r="G94" s="25"/>
    </row>
    <row r="95" customFormat="false" ht="15" hidden="false" customHeight="false" outlineLevel="0" collapsed="false">
      <c r="B95" s="25"/>
      <c r="C95" s="25"/>
      <c r="D95" s="13"/>
      <c r="E95" s="13"/>
      <c r="F95" s="13"/>
      <c r="G95" s="25"/>
    </row>
    <row r="96" customFormat="false" ht="15" hidden="false" customHeight="false" outlineLevel="0" collapsed="false">
      <c r="B96" s="25"/>
      <c r="C96" s="25"/>
      <c r="D96" s="13"/>
      <c r="E96" s="13"/>
      <c r="F96" s="13"/>
      <c r="G96" s="25"/>
    </row>
    <row r="97" customFormat="false" ht="15" hidden="false" customHeight="false" outlineLevel="0" collapsed="false">
      <c r="B97" s="25"/>
      <c r="C97" s="25"/>
      <c r="D97" s="13"/>
      <c r="E97" s="13"/>
      <c r="F97" s="13"/>
      <c r="G97" s="25"/>
    </row>
    <row r="98" customFormat="false" ht="15" hidden="false" customHeight="false" outlineLevel="0" collapsed="false">
      <c r="B98" s="25"/>
      <c r="C98" s="25"/>
      <c r="D98" s="13"/>
      <c r="E98" s="13"/>
      <c r="F98" s="13"/>
      <c r="G98" s="25"/>
    </row>
    <row r="99" customFormat="false" ht="15" hidden="false" customHeight="false" outlineLevel="0" collapsed="false">
      <c r="B99" s="25"/>
      <c r="C99" s="25"/>
      <c r="D99" s="13"/>
      <c r="E99" s="13"/>
      <c r="F99" s="13"/>
      <c r="G99" s="25"/>
    </row>
    <row r="100" customFormat="false" ht="15" hidden="false" customHeight="false" outlineLevel="0" collapsed="false">
      <c r="B100" s="25"/>
      <c r="C100" s="25"/>
      <c r="D100" s="13"/>
      <c r="E100" s="13"/>
      <c r="F100" s="13"/>
      <c r="G100" s="25"/>
    </row>
    <row r="101" customFormat="false" ht="15" hidden="false" customHeight="false" outlineLevel="0" collapsed="false">
      <c r="B101" s="25"/>
      <c r="C101" s="25"/>
      <c r="D101" s="13"/>
      <c r="E101" s="13"/>
      <c r="F101" s="13"/>
      <c r="G101" s="25"/>
    </row>
    <row r="102" customFormat="false" ht="15" hidden="false" customHeight="false" outlineLevel="0" collapsed="false">
      <c r="B102" s="25"/>
      <c r="C102" s="25"/>
      <c r="D102" s="13"/>
      <c r="E102" s="13"/>
      <c r="F102" s="13"/>
      <c r="G102" s="25"/>
    </row>
    <row r="103" customFormat="false" ht="15" hidden="false" customHeight="false" outlineLevel="0" collapsed="false">
      <c r="B103" s="25"/>
      <c r="C103" s="25"/>
      <c r="D103" s="13"/>
      <c r="E103" s="13"/>
      <c r="F103" s="13"/>
      <c r="G103" s="25"/>
    </row>
    <row r="104" customFormat="false" ht="15" hidden="false" customHeight="false" outlineLevel="0" collapsed="false">
      <c r="B104" s="25"/>
      <c r="C104" s="25"/>
      <c r="D104" s="13"/>
      <c r="E104" s="13"/>
      <c r="F104" s="13"/>
      <c r="G104" s="25"/>
    </row>
    <row r="105" customFormat="false" ht="15" hidden="false" customHeight="false" outlineLevel="0" collapsed="false">
      <c r="B105" s="25"/>
      <c r="C105" s="25"/>
      <c r="D105" s="13"/>
      <c r="E105" s="13"/>
      <c r="F105" s="13"/>
      <c r="G105" s="25"/>
    </row>
    <row r="106" customFormat="false" ht="15" hidden="false" customHeight="false" outlineLevel="0" collapsed="false">
      <c r="B106" s="25"/>
      <c r="C106" s="25"/>
      <c r="D106" s="13"/>
      <c r="E106" s="13"/>
      <c r="F106" s="13"/>
      <c r="G106" s="25"/>
    </row>
    <row r="107" customFormat="false" ht="15" hidden="false" customHeight="false" outlineLevel="0" collapsed="false">
      <c r="B107" s="25"/>
      <c r="C107" s="25"/>
      <c r="D107" s="13"/>
      <c r="E107" s="13"/>
      <c r="F107" s="13"/>
      <c r="G107" s="25"/>
    </row>
    <row r="108" customFormat="false" ht="15" hidden="false" customHeight="false" outlineLevel="0" collapsed="false">
      <c r="B108" s="25"/>
      <c r="C108" s="25"/>
      <c r="D108" s="13"/>
      <c r="E108" s="13"/>
      <c r="F108" s="13"/>
      <c r="G108" s="25"/>
    </row>
    <row r="109" customFormat="false" ht="15" hidden="false" customHeight="false" outlineLevel="0" collapsed="false">
      <c r="B109" s="25"/>
      <c r="C109" s="25"/>
      <c r="D109" s="13"/>
      <c r="E109" s="13"/>
      <c r="F109" s="13"/>
      <c r="G109" s="25"/>
    </row>
    <row r="110" customFormat="false" ht="15" hidden="false" customHeight="false" outlineLevel="0" collapsed="false">
      <c r="B110" s="25"/>
      <c r="C110" s="25"/>
      <c r="D110" s="13"/>
      <c r="E110" s="13"/>
      <c r="F110" s="13"/>
      <c r="G110" s="25"/>
    </row>
    <row r="111" customFormat="false" ht="15" hidden="false" customHeight="false" outlineLevel="0" collapsed="false">
      <c r="B111" s="25"/>
      <c r="C111" s="25"/>
      <c r="D111" s="13"/>
      <c r="E111" s="13"/>
      <c r="F111" s="13"/>
      <c r="G111" s="25"/>
    </row>
    <row r="112" customFormat="false" ht="15" hidden="false" customHeight="false" outlineLevel="0" collapsed="false">
      <c r="B112" s="25"/>
      <c r="C112" s="25"/>
      <c r="D112" s="13"/>
      <c r="E112" s="13"/>
      <c r="F112" s="13"/>
      <c r="G112" s="25"/>
    </row>
    <row r="113" customFormat="false" ht="15" hidden="false" customHeight="false" outlineLevel="0" collapsed="false">
      <c r="B113" s="25"/>
      <c r="C113" s="25"/>
      <c r="D113" s="13"/>
      <c r="E113" s="13"/>
      <c r="F113" s="13"/>
      <c r="G113" s="25"/>
    </row>
    <row r="114" customFormat="false" ht="15" hidden="false" customHeight="false" outlineLevel="0" collapsed="false">
      <c r="B114" s="25"/>
      <c r="C114" s="25"/>
      <c r="D114" s="13"/>
      <c r="E114" s="13"/>
      <c r="F114" s="13"/>
      <c r="G114" s="25"/>
    </row>
    <row r="115" customFormat="false" ht="15" hidden="false" customHeight="false" outlineLevel="0" collapsed="false">
      <c r="B115" s="25"/>
      <c r="C115" s="25"/>
      <c r="D115" s="13"/>
      <c r="E115" s="13"/>
      <c r="F115" s="13"/>
      <c r="G115" s="25"/>
    </row>
    <row r="116" customFormat="false" ht="15" hidden="false" customHeight="false" outlineLevel="0" collapsed="false">
      <c r="B116" s="25"/>
      <c r="C116" s="25"/>
      <c r="D116" s="13"/>
      <c r="E116" s="13"/>
      <c r="F116" s="13"/>
      <c r="G116" s="25"/>
    </row>
    <row r="117" customFormat="false" ht="15" hidden="false" customHeight="false" outlineLevel="0" collapsed="false">
      <c r="B117" s="25"/>
      <c r="C117" s="25"/>
      <c r="D117" s="13"/>
      <c r="E117" s="13"/>
      <c r="F117" s="13"/>
      <c r="G117" s="25"/>
    </row>
    <row r="118" customFormat="false" ht="15" hidden="false" customHeight="false" outlineLevel="0" collapsed="false">
      <c r="B118" s="25"/>
      <c r="C118" s="25"/>
      <c r="D118" s="13"/>
      <c r="E118" s="13"/>
      <c r="F118" s="13"/>
      <c r="G118" s="25"/>
    </row>
    <row r="119" customFormat="false" ht="15" hidden="false" customHeight="false" outlineLevel="0" collapsed="false">
      <c r="B119" s="25"/>
      <c r="C119" s="25"/>
      <c r="D119" s="13"/>
      <c r="E119" s="13"/>
      <c r="F119" s="13"/>
      <c r="G119" s="25"/>
    </row>
    <row r="120" customFormat="false" ht="15" hidden="false" customHeight="false" outlineLevel="0" collapsed="false">
      <c r="B120" s="25"/>
      <c r="C120" s="25"/>
      <c r="D120" s="13"/>
      <c r="E120" s="13"/>
      <c r="F120" s="13"/>
      <c r="G120" s="25"/>
    </row>
    <row r="121" customFormat="false" ht="15" hidden="false" customHeight="false" outlineLevel="0" collapsed="false">
      <c r="B121" s="25"/>
      <c r="C121" s="25"/>
      <c r="D121" s="13"/>
      <c r="E121" s="13"/>
      <c r="F121" s="13"/>
      <c r="G121" s="25"/>
    </row>
    <row r="122" customFormat="false" ht="15" hidden="false" customHeight="false" outlineLevel="0" collapsed="false">
      <c r="B122" s="25"/>
      <c r="C122" s="25"/>
      <c r="D122" s="13"/>
      <c r="E122" s="13"/>
      <c r="F122" s="13"/>
      <c r="G122" s="25"/>
    </row>
    <row r="123" customFormat="false" ht="15" hidden="false" customHeight="false" outlineLevel="0" collapsed="false">
      <c r="B123" s="25"/>
      <c r="C123" s="25"/>
      <c r="D123" s="13"/>
      <c r="E123" s="13"/>
      <c r="F123" s="13"/>
      <c r="G123" s="25"/>
    </row>
    <row r="124" customFormat="false" ht="15" hidden="false" customHeight="false" outlineLevel="0" collapsed="false">
      <c r="B124" s="25"/>
      <c r="C124" s="25"/>
      <c r="D124" s="13"/>
      <c r="E124" s="13"/>
      <c r="F124" s="13"/>
      <c r="G124" s="25"/>
    </row>
    <row r="125" customFormat="false" ht="15" hidden="false" customHeight="false" outlineLevel="0" collapsed="false">
      <c r="B125" s="25"/>
      <c r="C125" s="25"/>
      <c r="D125" s="13"/>
      <c r="E125" s="13"/>
      <c r="F125" s="13"/>
      <c r="G125" s="25"/>
    </row>
    <row r="126" customFormat="false" ht="15" hidden="false" customHeight="false" outlineLevel="0" collapsed="false">
      <c r="B126" s="25"/>
      <c r="C126" s="25"/>
      <c r="D126" s="13"/>
      <c r="E126" s="13"/>
      <c r="F126" s="13"/>
      <c r="G126" s="25"/>
    </row>
    <row r="127" customFormat="false" ht="15" hidden="false" customHeight="false" outlineLevel="0" collapsed="false">
      <c r="B127" s="25"/>
      <c r="C127" s="25"/>
      <c r="D127" s="13"/>
      <c r="E127" s="13"/>
      <c r="F127" s="13"/>
      <c r="G127" s="25"/>
    </row>
    <row r="128" customFormat="false" ht="15" hidden="false" customHeight="false" outlineLevel="0" collapsed="false">
      <c r="B128" s="25"/>
      <c r="C128" s="25"/>
      <c r="D128" s="13"/>
      <c r="E128" s="13"/>
      <c r="F128" s="13"/>
      <c r="G128" s="25"/>
    </row>
    <row r="129" customFormat="false" ht="15" hidden="false" customHeight="false" outlineLevel="0" collapsed="false">
      <c r="B129" s="25"/>
      <c r="C129" s="25"/>
      <c r="D129" s="13"/>
      <c r="E129" s="13"/>
      <c r="F129" s="13"/>
      <c r="G129" s="25"/>
    </row>
    <row r="130" customFormat="false" ht="15" hidden="false" customHeight="false" outlineLevel="0" collapsed="false">
      <c r="B130" s="25"/>
      <c r="C130" s="25"/>
      <c r="D130" s="13"/>
      <c r="E130" s="13"/>
      <c r="F130" s="13"/>
      <c r="G130" s="25"/>
    </row>
    <row r="131" customFormat="false" ht="15" hidden="false" customHeight="false" outlineLevel="0" collapsed="false">
      <c r="B131" s="25"/>
      <c r="C131" s="25"/>
      <c r="D131" s="13"/>
      <c r="E131" s="13"/>
      <c r="F131" s="13"/>
      <c r="G131" s="25"/>
    </row>
    <row r="132" customFormat="false" ht="15" hidden="false" customHeight="false" outlineLevel="0" collapsed="false">
      <c r="B132" s="25"/>
      <c r="C132" s="25"/>
      <c r="D132" s="13"/>
      <c r="E132" s="13"/>
      <c r="F132" s="13"/>
      <c r="G132" s="25"/>
    </row>
    <row r="133" customFormat="false" ht="15" hidden="false" customHeight="false" outlineLevel="0" collapsed="false">
      <c r="B133" s="25"/>
      <c r="C133" s="25"/>
      <c r="D133" s="13"/>
      <c r="E133" s="13"/>
      <c r="F133" s="13"/>
      <c r="G133" s="25"/>
    </row>
    <row r="134" customFormat="false" ht="15" hidden="false" customHeight="false" outlineLevel="0" collapsed="false">
      <c r="B134" s="25"/>
      <c r="C134" s="25"/>
      <c r="D134" s="13"/>
      <c r="E134" s="13"/>
      <c r="F134" s="13"/>
      <c r="G134" s="25"/>
    </row>
    <row r="135" customFormat="false" ht="15" hidden="false" customHeight="false" outlineLevel="0" collapsed="false">
      <c r="B135" s="25"/>
      <c r="C135" s="25"/>
      <c r="D135" s="13"/>
      <c r="E135" s="13"/>
      <c r="F135" s="13"/>
      <c r="G135" s="25"/>
    </row>
    <row r="136" customFormat="false" ht="15" hidden="false" customHeight="false" outlineLevel="0" collapsed="false">
      <c r="B136" s="25"/>
      <c r="C136" s="25"/>
      <c r="D136" s="13"/>
      <c r="E136" s="13"/>
      <c r="F136" s="13"/>
      <c r="G136" s="25"/>
    </row>
    <row r="137" customFormat="false" ht="15" hidden="false" customHeight="false" outlineLevel="0" collapsed="false">
      <c r="B137" s="25"/>
      <c r="C137" s="25"/>
      <c r="D137" s="13"/>
      <c r="E137" s="13"/>
      <c r="F137" s="13"/>
      <c r="G137" s="25"/>
    </row>
    <row r="138" customFormat="false" ht="15" hidden="false" customHeight="false" outlineLevel="0" collapsed="false">
      <c r="B138" s="25"/>
      <c r="C138" s="25"/>
      <c r="D138" s="13"/>
      <c r="E138" s="13"/>
      <c r="F138" s="13"/>
      <c r="G138" s="25"/>
    </row>
    <row r="139" customFormat="false" ht="15" hidden="false" customHeight="false" outlineLevel="0" collapsed="false">
      <c r="B139" s="25"/>
      <c r="C139" s="25"/>
      <c r="D139" s="13"/>
      <c r="E139" s="13"/>
      <c r="F139" s="13"/>
      <c r="G139" s="25"/>
    </row>
    <row r="140" customFormat="false" ht="15" hidden="false" customHeight="false" outlineLevel="0" collapsed="false">
      <c r="B140" s="25"/>
      <c r="C140" s="25"/>
      <c r="D140" s="13"/>
      <c r="E140" s="13"/>
      <c r="F140" s="13"/>
      <c r="G140" s="25"/>
    </row>
    <row r="141" customFormat="false" ht="15" hidden="false" customHeight="false" outlineLevel="0" collapsed="false">
      <c r="B141" s="25"/>
      <c r="C141" s="25"/>
      <c r="D141" s="13"/>
      <c r="E141" s="13"/>
      <c r="F141" s="13"/>
      <c r="G141" s="25"/>
    </row>
    <row r="142" customFormat="false" ht="15" hidden="false" customHeight="false" outlineLevel="0" collapsed="false">
      <c r="B142" s="25"/>
      <c r="C142" s="25"/>
      <c r="D142" s="13"/>
      <c r="E142" s="13"/>
      <c r="F142" s="13"/>
      <c r="G142" s="25"/>
    </row>
    <row r="143" customFormat="false" ht="15" hidden="false" customHeight="false" outlineLevel="0" collapsed="false">
      <c r="B143" s="25"/>
      <c r="C143" s="25"/>
      <c r="D143" s="13"/>
      <c r="E143" s="13"/>
      <c r="F143" s="13"/>
      <c r="G143" s="25"/>
    </row>
    <row r="144" customFormat="false" ht="15" hidden="false" customHeight="false" outlineLevel="0" collapsed="false">
      <c r="B144" s="25"/>
      <c r="C144" s="25"/>
      <c r="D144" s="13"/>
      <c r="E144" s="13"/>
      <c r="F144" s="13"/>
      <c r="G144" s="25"/>
    </row>
    <row r="145" customFormat="false" ht="15" hidden="false" customHeight="false" outlineLevel="0" collapsed="false">
      <c r="B145" s="25"/>
      <c r="C145" s="25"/>
      <c r="D145" s="13"/>
      <c r="E145" s="13"/>
      <c r="F145" s="13"/>
      <c r="G145" s="25"/>
    </row>
    <row r="146" customFormat="false" ht="15" hidden="false" customHeight="false" outlineLevel="0" collapsed="false">
      <c r="B146" s="25"/>
      <c r="C146" s="25"/>
      <c r="D146" s="13"/>
      <c r="E146" s="13"/>
      <c r="F146" s="13"/>
      <c r="G146" s="25"/>
    </row>
    <row r="147" customFormat="false" ht="15" hidden="false" customHeight="false" outlineLevel="0" collapsed="false">
      <c r="B147" s="25"/>
      <c r="C147" s="25"/>
      <c r="D147" s="13"/>
      <c r="E147" s="13"/>
      <c r="F147" s="13"/>
      <c r="G147" s="25"/>
    </row>
    <row r="148" customFormat="false" ht="15" hidden="false" customHeight="false" outlineLevel="0" collapsed="false">
      <c r="B148" s="25"/>
      <c r="C148" s="25"/>
      <c r="D148" s="13"/>
      <c r="E148" s="13"/>
      <c r="F148" s="13"/>
      <c r="G148" s="25"/>
    </row>
    <row r="149" customFormat="false" ht="15" hidden="false" customHeight="false" outlineLevel="0" collapsed="false">
      <c r="B149" s="25"/>
      <c r="C149" s="25"/>
      <c r="D149" s="13"/>
      <c r="E149" s="13"/>
      <c r="F149" s="13"/>
      <c r="G149" s="25"/>
    </row>
    <row r="150" customFormat="false" ht="15" hidden="false" customHeight="false" outlineLevel="0" collapsed="false">
      <c r="B150" s="25"/>
      <c r="C150" s="25"/>
      <c r="D150" s="13"/>
      <c r="E150" s="13"/>
      <c r="F150" s="13"/>
      <c r="G150" s="25"/>
    </row>
    <row r="151" customFormat="false" ht="15" hidden="false" customHeight="false" outlineLevel="0" collapsed="false">
      <c r="B151" s="25"/>
      <c r="C151" s="25"/>
      <c r="D151" s="13"/>
      <c r="E151" s="13"/>
      <c r="F151" s="13"/>
      <c r="G151" s="25"/>
    </row>
    <row r="152" customFormat="false" ht="15" hidden="false" customHeight="false" outlineLevel="0" collapsed="false">
      <c r="B152" s="25"/>
      <c r="C152" s="25"/>
      <c r="D152" s="13"/>
      <c r="E152" s="13"/>
      <c r="F152" s="13"/>
      <c r="G152" s="25"/>
    </row>
    <row r="153" customFormat="false" ht="15" hidden="false" customHeight="false" outlineLevel="0" collapsed="false">
      <c r="B153" s="25"/>
      <c r="C153" s="25"/>
      <c r="D153" s="13"/>
      <c r="E153" s="13"/>
      <c r="F153" s="13"/>
      <c r="G153" s="25"/>
    </row>
    <row r="154" customFormat="false" ht="15" hidden="false" customHeight="false" outlineLevel="0" collapsed="false">
      <c r="B154" s="25"/>
      <c r="C154" s="25"/>
      <c r="D154" s="13"/>
      <c r="E154" s="13"/>
      <c r="F154" s="13"/>
      <c r="G154" s="25"/>
    </row>
    <row r="155" customFormat="false" ht="15" hidden="false" customHeight="false" outlineLevel="0" collapsed="false">
      <c r="B155" s="25"/>
      <c r="C155" s="25"/>
      <c r="D155" s="13"/>
      <c r="E155" s="13"/>
      <c r="F155" s="13"/>
      <c r="G155" s="25"/>
    </row>
    <row r="156" customFormat="false" ht="15" hidden="false" customHeight="false" outlineLevel="0" collapsed="false">
      <c r="B156" s="25"/>
      <c r="C156" s="25"/>
      <c r="D156" s="13"/>
      <c r="E156" s="13"/>
      <c r="F156" s="13"/>
      <c r="G156" s="25"/>
    </row>
    <row r="157" customFormat="false" ht="15" hidden="false" customHeight="false" outlineLevel="0" collapsed="false">
      <c r="B157" s="25"/>
      <c r="C157" s="25"/>
      <c r="D157" s="13"/>
      <c r="E157" s="13"/>
      <c r="F157" s="13"/>
      <c r="G157" s="25"/>
    </row>
    <row r="158" customFormat="false" ht="15" hidden="false" customHeight="false" outlineLevel="0" collapsed="false">
      <c r="B158" s="25"/>
      <c r="C158" s="25"/>
      <c r="D158" s="13"/>
      <c r="E158" s="13"/>
      <c r="F158" s="13"/>
      <c r="G158" s="25"/>
    </row>
    <row r="159" customFormat="false" ht="15" hidden="false" customHeight="false" outlineLevel="0" collapsed="false">
      <c r="B159" s="25"/>
      <c r="C159" s="25"/>
      <c r="D159" s="13"/>
      <c r="E159" s="13"/>
      <c r="F159" s="13"/>
      <c r="G159" s="25"/>
    </row>
    <row r="160" customFormat="false" ht="15" hidden="false" customHeight="false" outlineLevel="0" collapsed="false">
      <c r="B160" s="25"/>
      <c r="C160" s="25"/>
      <c r="D160" s="13"/>
      <c r="E160" s="13"/>
      <c r="F160" s="13"/>
      <c r="G160" s="25"/>
    </row>
    <row r="161" customFormat="false" ht="15" hidden="false" customHeight="false" outlineLevel="0" collapsed="false">
      <c r="B161" s="25"/>
      <c r="C161" s="25"/>
      <c r="D161" s="13"/>
      <c r="E161" s="13"/>
      <c r="F161" s="13"/>
      <c r="G161" s="25"/>
    </row>
    <row r="162" customFormat="false" ht="15" hidden="false" customHeight="false" outlineLevel="0" collapsed="false">
      <c r="B162" s="25"/>
      <c r="C162" s="25"/>
      <c r="D162" s="13"/>
      <c r="E162" s="13"/>
      <c r="F162" s="13"/>
      <c r="G162" s="25"/>
    </row>
    <row r="163" customFormat="false" ht="15" hidden="false" customHeight="false" outlineLevel="0" collapsed="false">
      <c r="B163" s="25"/>
      <c r="C163" s="25"/>
      <c r="D163" s="13"/>
      <c r="E163" s="13"/>
      <c r="F163" s="13"/>
      <c r="G163" s="25"/>
    </row>
    <row r="164" customFormat="false" ht="15" hidden="false" customHeight="false" outlineLevel="0" collapsed="false">
      <c r="B164" s="25"/>
      <c r="C164" s="25"/>
      <c r="D164" s="13"/>
      <c r="E164" s="13"/>
      <c r="F164" s="13"/>
      <c r="G164" s="25"/>
    </row>
    <row r="165" customFormat="false" ht="15" hidden="false" customHeight="false" outlineLevel="0" collapsed="false">
      <c r="B165" s="25"/>
      <c r="C165" s="25"/>
      <c r="D165" s="13"/>
      <c r="E165" s="13"/>
      <c r="F165" s="13"/>
      <c r="G165" s="25"/>
    </row>
    <row r="166" customFormat="false" ht="15" hidden="false" customHeight="false" outlineLevel="0" collapsed="false">
      <c r="B166" s="25"/>
      <c r="C166" s="25"/>
      <c r="D166" s="13"/>
      <c r="E166" s="13"/>
      <c r="F166" s="13"/>
      <c r="G166" s="25"/>
    </row>
    <row r="167" customFormat="false" ht="15" hidden="false" customHeight="false" outlineLevel="0" collapsed="false">
      <c r="B167" s="25"/>
      <c r="C167" s="25"/>
      <c r="D167" s="13"/>
      <c r="E167" s="13"/>
      <c r="F167" s="13"/>
      <c r="G167" s="25"/>
    </row>
    <row r="168" customFormat="false" ht="15" hidden="false" customHeight="false" outlineLevel="0" collapsed="false">
      <c r="B168" s="25"/>
      <c r="C168" s="25"/>
      <c r="D168" s="13"/>
      <c r="E168" s="13"/>
      <c r="F168" s="13"/>
      <c r="G168" s="25"/>
    </row>
    <row r="169" customFormat="false" ht="15" hidden="false" customHeight="false" outlineLevel="0" collapsed="false">
      <c r="B169" s="25"/>
      <c r="C169" s="25"/>
      <c r="D169" s="13"/>
      <c r="E169" s="13"/>
      <c r="F169" s="13"/>
      <c r="G169" s="25"/>
    </row>
    <row r="170" customFormat="false" ht="15" hidden="false" customHeight="false" outlineLevel="0" collapsed="false">
      <c r="B170" s="25"/>
      <c r="C170" s="25"/>
      <c r="D170" s="13"/>
      <c r="E170" s="13"/>
      <c r="F170" s="13"/>
      <c r="G170" s="25"/>
    </row>
    <row r="171" customFormat="false" ht="15" hidden="false" customHeight="false" outlineLevel="0" collapsed="false">
      <c r="B171" s="25"/>
      <c r="C171" s="25"/>
      <c r="D171" s="13"/>
      <c r="E171" s="13"/>
      <c r="F171" s="13"/>
      <c r="G171" s="25"/>
    </row>
    <row r="172" customFormat="false" ht="15" hidden="false" customHeight="false" outlineLevel="0" collapsed="false">
      <c r="B172" s="25"/>
      <c r="C172" s="25"/>
      <c r="D172" s="13"/>
      <c r="E172" s="13"/>
      <c r="F172" s="13"/>
      <c r="G172" s="25"/>
    </row>
    <row r="173" customFormat="false" ht="15" hidden="false" customHeight="false" outlineLevel="0" collapsed="false">
      <c r="B173" s="25"/>
      <c r="C173" s="25"/>
      <c r="D173" s="13"/>
      <c r="E173" s="13"/>
      <c r="F173" s="13"/>
      <c r="G173" s="25"/>
    </row>
    <row r="174" customFormat="false" ht="15" hidden="false" customHeight="false" outlineLevel="0" collapsed="false">
      <c r="B174" s="25"/>
      <c r="C174" s="25"/>
      <c r="D174" s="13"/>
      <c r="E174" s="13"/>
      <c r="F174" s="13"/>
      <c r="G174" s="25"/>
    </row>
    <row r="175" customFormat="false" ht="15" hidden="false" customHeight="false" outlineLevel="0" collapsed="false">
      <c r="B175" s="25"/>
      <c r="C175" s="25"/>
      <c r="D175" s="13"/>
      <c r="E175" s="13"/>
      <c r="F175" s="13"/>
      <c r="G175" s="25"/>
    </row>
    <row r="176" customFormat="false" ht="15" hidden="false" customHeight="false" outlineLevel="0" collapsed="false">
      <c r="B176" s="25"/>
      <c r="C176" s="25"/>
      <c r="D176" s="13"/>
      <c r="E176" s="13"/>
      <c r="F176" s="13"/>
      <c r="G176" s="25"/>
    </row>
    <row r="177" customFormat="false" ht="15" hidden="false" customHeight="false" outlineLevel="0" collapsed="false">
      <c r="B177" s="25"/>
      <c r="C177" s="25"/>
      <c r="D177" s="13"/>
      <c r="E177" s="13"/>
      <c r="F177" s="13"/>
      <c r="G177" s="25"/>
    </row>
    <row r="178" customFormat="false" ht="15" hidden="false" customHeight="false" outlineLevel="0" collapsed="false">
      <c r="B178" s="25"/>
      <c r="C178" s="25"/>
      <c r="D178" s="13"/>
      <c r="E178" s="13"/>
      <c r="F178" s="13"/>
      <c r="G178" s="25"/>
    </row>
    <row r="179" customFormat="false" ht="15" hidden="false" customHeight="false" outlineLevel="0" collapsed="false">
      <c r="B179" s="25"/>
      <c r="C179" s="25"/>
      <c r="D179" s="13"/>
      <c r="E179" s="13"/>
      <c r="F179" s="13"/>
      <c r="G179" s="25"/>
    </row>
    <row r="180" customFormat="false" ht="15" hidden="false" customHeight="false" outlineLevel="0" collapsed="false">
      <c r="B180" s="25"/>
      <c r="C180" s="25"/>
      <c r="D180" s="13"/>
      <c r="E180" s="13"/>
      <c r="F180" s="13"/>
      <c r="G180" s="25"/>
    </row>
    <row r="181" customFormat="false" ht="15" hidden="false" customHeight="false" outlineLevel="0" collapsed="false">
      <c r="B181" s="25"/>
      <c r="C181" s="25"/>
      <c r="D181" s="13"/>
      <c r="E181" s="13"/>
      <c r="F181" s="13"/>
      <c r="G181" s="25"/>
    </row>
    <row r="182" customFormat="false" ht="15" hidden="false" customHeight="false" outlineLevel="0" collapsed="false">
      <c r="B182" s="25"/>
      <c r="C182" s="25"/>
      <c r="D182" s="13"/>
      <c r="E182" s="13"/>
      <c r="F182" s="13"/>
      <c r="G182" s="25"/>
    </row>
    <row r="183" customFormat="false" ht="15" hidden="false" customHeight="false" outlineLevel="0" collapsed="false">
      <c r="B183" s="25"/>
      <c r="C183" s="25"/>
      <c r="D183" s="13"/>
      <c r="E183" s="13"/>
      <c r="F183" s="13"/>
      <c r="G183" s="25"/>
    </row>
    <row r="184" customFormat="false" ht="15" hidden="false" customHeight="false" outlineLevel="0" collapsed="false">
      <c r="B184" s="25"/>
      <c r="C184" s="25"/>
      <c r="D184" s="13"/>
      <c r="E184" s="13"/>
      <c r="F184" s="13"/>
      <c r="G184" s="25"/>
    </row>
    <row r="185" customFormat="false" ht="15" hidden="false" customHeight="false" outlineLevel="0" collapsed="false">
      <c r="B185" s="25"/>
      <c r="C185" s="25"/>
      <c r="D185" s="13"/>
      <c r="E185" s="13"/>
      <c r="F185" s="13"/>
      <c r="G185" s="25"/>
    </row>
    <row r="186" customFormat="false" ht="15" hidden="false" customHeight="false" outlineLevel="0" collapsed="false">
      <c r="B186" s="25"/>
      <c r="C186" s="25"/>
      <c r="D186" s="13"/>
      <c r="E186" s="13"/>
      <c r="F186" s="13"/>
      <c r="G186" s="25"/>
    </row>
    <row r="187" customFormat="false" ht="15" hidden="false" customHeight="false" outlineLevel="0" collapsed="false">
      <c r="B187" s="25"/>
      <c r="C187" s="25"/>
      <c r="D187" s="13"/>
      <c r="E187" s="13"/>
      <c r="F187" s="13"/>
      <c r="G187" s="25"/>
    </row>
    <row r="188" customFormat="false" ht="15" hidden="false" customHeight="false" outlineLevel="0" collapsed="false">
      <c r="B188" s="25"/>
      <c r="C188" s="25"/>
      <c r="D188" s="13"/>
      <c r="E188" s="13"/>
      <c r="F188" s="13"/>
      <c r="G188" s="25"/>
    </row>
    <row r="189" customFormat="false" ht="15" hidden="false" customHeight="false" outlineLevel="0" collapsed="false">
      <c r="B189" s="25"/>
      <c r="C189" s="25"/>
      <c r="D189" s="13"/>
      <c r="E189" s="13"/>
      <c r="F189" s="13"/>
      <c r="G189" s="25"/>
    </row>
    <row r="190" customFormat="false" ht="15" hidden="false" customHeight="false" outlineLevel="0" collapsed="false">
      <c r="B190" s="25"/>
      <c r="C190" s="25"/>
      <c r="D190" s="13"/>
      <c r="E190" s="13"/>
      <c r="F190" s="13"/>
      <c r="G190" s="25"/>
    </row>
    <row r="191" customFormat="false" ht="15" hidden="false" customHeight="false" outlineLevel="0" collapsed="false">
      <c r="B191" s="25"/>
      <c r="C191" s="25"/>
      <c r="D191" s="13"/>
      <c r="E191" s="13"/>
      <c r="F191" s="13"/>
      <c r="G191" s="25"/>
    </row>
    <row r="192" customFormat="false" ht="15" hidden="false" customHeight="false" outlineLevel="0" collapsed="false">
      <c r="B192" s="25"/>
      <c r="C192" s="25"/>
      <c r="D192" s="13"/>
      <c r="E192" s="13"/>
      <c r="F192" s="13"/>
      <c r="G192" s="25"/>
    </row>
    <row r="193" customFormat="false" ht="15" hidden="false" customHeight="false" outlineLevel="0" collapsed="false">
      <c r="B193" s="25"/>
      <c r="C193" s="25"/>
      <c r="D193" s="13"/>
      <c r="E193" s="13"/>
      <c r="F193" s="13"/>
      <c r="G193" s="25"/>
    </row>
    <row r="194" customFormat="false" ht="15" hidden="false" customHeight="false" outlineLevel="0" collapsed="false">
      <c r="B194" s="25"/>
      <c r="C194" s="25"/>
      <c r="D194" s="13"/>
      <c r="E194" s="13"/>
      <c r="F194" s="13"/>
      <c r="G194" s="25"/>
    </row>
    <row r="195" customFormat="false" ht="15" hidden="false" customHeight="false" outlineLevel="0" collapsed="false">
      <c r="B195" s="25"/>
      <c r="C195" s="25"/>
      <c r="D195" s="13"/>
      <c r="E195" s="13"/>
      <c r="F195" s="13"/>
      <c r="G195" s="25"/>
    </row>
    <row r="196" customFormat="false" ht="15" hidden="false" customHeight="false" outlineLevel="0" collapsed="false">
      <c r="B196" s="25"/>
      <c r="C196" s="25"/>
      <c r="D196" s="13"/>
      <c r="E196" s="13"/>
      <c r="F196" s="13"/>
      <c r="G196" s="25"/>
    </row>
    <row r="197" customFormat="false" ht="15" hidden="false" customHeight="false" outlineLevel="0" collapsed="false">
      <c r="B197" s="25"/>
      <c r="C197" s="25"/>
      <c r="D197" s="13"/>
      <c r="E197" s="13"/>
      <c r="F197" s="13"/>
      <c r="G197" s="25"/>
    </row>
    <row r="198" customFormat="false" ht="15" hidden="false" customHeight="false" outlineLevel="0" collapsed="false">
      <c r="B198" s="25"/>
      <c r="C198" s="25"/>
      <c r="D198" s="13"/>
      <c r="E198" s="13"/>
      <c r="F198" s="13"/>
      <c r="G198" s="25"/>
    </row>
    <row r="199" customFormat="false" ht="15" hidden="false" customHeight="false" outlineLevel="0" collapsed="false">
      <c r="B199" s="25"/>
      <c r="C199" s="25"/>
      <c r="D199" s="13"/>
      <c r="E199" s="13"/>
      <c r="F199" s="13"/>
      <c r="G199" s="25"/>
    </row>
    <row r="200" customFormat="false" ht="15" hidden="false" customHeight="false" outlineLevel="0" collapsed="false">
      <c r="B200" s="25"/>
      <c r="C200" s="25"/>
      <c r="D200" s="13"/>
      <c r="E200" s="13"/>
      <c r="F200" s="13"/>
      <c r="G200" s="25"/>
    </row>
    <row r="201" customFormat="false" ht="15" hidden="false" customHeight="false" outlineLevel="0" collapsed="false">
      <c r="B201" s="25"/>
      <c r="C201" s="25"/>
      <c r="D201" s="13"/>
      <c r="E201" s="13"/>
      <c r="F201" s="13"/>
      <c r="G201" s="25"/>
    </row>
    <row r="202" customFormat="false" ht="15" hidden="false" customHeight="false" outlineLevel="0" collapsed="false">
      <c r="B202" s="25"/>
      <c r="C202" s="25"/>
      <c r="D202" s="13"/>
      <c r="E202" s="13"/>
      <c r="F202" s="13"/>
      <c r="G202" s="25"/>
    </row>
    <row r="203" customFormat="false" ht="15" hidden="false" customHeight="false" outlineLevel="0" collapsed="false">
      <c r="B203" s="25"/>
      <c r="C203" s="25"/>
      <c r="D203" s="13"/>
      <c r="E203" s="13"/>
      <c r="F203" s="13"/>
      <c r="G203" s="25"/>
    </row>
    <row r="204" customFormat="false" ht="15" hidden="false" customHeight="false" outlineLevel="0" collapsed="false">
      <c r="B204" s="25"/>
      <c r="C204" s="25"/>
      <c r="D204" s="13"/>
      <c r="E204" s="13"/>
      <c r="F204" s="13"/>
      <c r="G204" s="25"/>
    </row>
    <row r="205" customFormat="false" ht="15" hidden="false" customHeight="false" outlineLevel="0" collapsed="false">
      <c r="B205" s="25"/>
      <c r="C205" s="25"/>
      <c r="D205" s="13"/>
      <c r="E205" s="13"/>
      <c r="F205" s="13"/>
      <c r="G205" s="25"/>
    </row>
    <row r="206" customFormat="false" ht="15" hidden="false" customHeight="false" outlineLevel="0" collapsed="false">
      <c r="B206" s="25"/>
      <c r="C206" s="25"/>
      <c r="D206" s="13"/>
      <c r="E206" s="13"/>
      <c r="F206" s="13"/>
      <c r="G206" s="25"/>
    </row>
    <row r="207" customFormat="false" ht="15" hidden="false" customHeight="false" outlineLevel="0" collapsed="false">
      <c r="B207" s="25"/>
      <c r="C207" s="25"/>
      <c r="D207" s="13"/>
      <c r="E207" s="13"/>
      <c r="F207" s="13"/>
      <c r="G207" s="25"/>
    </row>
  </sheetData>
  <conditionalFormatting sqref="B8:G207">
    <cfRule type="expression" priority="2" aboveAverage="0" equalAverage="0" bottom="0" percent="0" rank="0" text="" dxfId="6">
      <formula>$E8="✓"</formula>
    </cfRule>
  </conditionalFormatting>
  <dataValidations count="2">
    <dataValidation allowBlank="true" errorStyle="stop" operator="between" showDropDown="false" showErrorMessage="false" showInputMessage="false" sqref="D8:D207" type="list">
      <formula1>"Card,E-card"</formula1>
      <formula2>0</formula2>
    </dataValidation>
    <dataValidation allowBlank="true" errorStyle="stop" operator="between" showDropDown="false" showErrorMessage="false" showInputMessage="false" sqref="E8:F207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4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  <c r="H1" s="2"/>
      <c r="I1" s="3"/>
      <c r="J1" s="1"/>
      <c r="K1" s="2"/>
    </row>
    <row r="2" customFormat="false" ht="31.5" hidden="false" customHeight="true" outlineLevel="0" collapsed="false">
      <c r="A2" s="4"/>
      <c r="B2" s="5" t="s">
        <v>119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4"/>
      <c r="B3" s="6" t="s">
        <v>120</v>
      </c>
      <c r="C3" s="4"/>
      <c r="D3" s="4"/>
      <c r="E3" s="4"/>
      <c r="F3" s="4"/>
      <c r="G3" s="4"/>
      <c r="H3" s="4"/>
      <c r="I3" s="4"/>
      <c r="J3" s="4"/>
      <c r="K3" s="4"/>
    </row>
    <row r="5" customFormat="false" ht="15" hidden="false" customHeight="false" outlineLevel="0" collapsed="false">
      <c r="B5" s="12" t="s">
        <v>121</v>
      </c>
      <c r="C5" s="30" t="n">
        <f aca="false">COUNTIF(C8:C27,"Yes")</f>
        <v>2</v>
      </c>
    </row>
    <row r="7" customFormat="false" ht="21.75" hidden="false" customHeight="true" outlineLevel="0" collapsed="false">
      <c r="B7" s="17" t="s">
        <v>122</v>
      </c>
      <c r="C7" s="17" t="s">
        <v>123</v>
      </c>
      <c r="D7" s="17" t="s">
        <v>124</v>
      </c>
      <c r="E7" s="17" t="s">
        <v>125</v>
      </c>
      <c r="G7" s="18" t="s">
        <v>126</v>
      </c>
      <c r="H7" s="18" t="s">
        <v>127</v>
      </c>
      <c r="I7" s="18" t="s">
        <v>128</v>
      </c>
      <c r="J7" s="18" t="s">
        <v>129</v>
      </c>
    </row>
    <row r="8" customFormat="false" ht="15" hidden="false" customHeight="false" outlineLevel="0" collapsed="false">
      <c r="B8" s="25" t="s">
        <v>130</v>
      </c>
      <c r="C8" s="13" t="s">
        <v>131</v>
      </c>
      <c r="D8" s="25" t="s">
        <v>132</v>
      </c>
      <c r="E8" s="25" t="s">
        <v>133</v>
      </c>
      <c r="G8" s="25" t="s">
        <v>134</v>
      </c>
      <c r="H8" s="25" t="s">
        <v>135</v>
      </c>
      <c r="I8" s="25" t="s">
        <v>136</v>
      </c>
      <c r="J8" s="25"/>
    </row>
    <row r="9" customFormat="false" ht="15" hidden="false" customHeight="false" outlineLevel="0" collapsed="false">
      <c r="B9" s="25" t="s">
        <v>137</v>
      </c>
      <c r="C9" s="13" t="s">
        <v>131</v>
      </c>
      <c r="D9" s="25" t="s">
        <v>138</v>
      </c>
      <c r="E9" s="25" t="s">
        <v>139</v>
      </c>
      <c r="G9" s="25" t="s">
        <v>134</v>
      </c>
      <c r="H9" s="25" t="s">
        <v>140</v>
      </c>
      <c r="I9" s="25" t="s">
        <v>136</v>
      </c>
      <c r="J9" s="25" t="s">
        <v>141</v>
      </c>
    </row>
    <row r="10" customFormat="false" ht="15" hidden="false" customHeight="false" outlineLevel="0" collapsed="false">
      <c r="B10" s="25" t="s">
        <v>142</v>
      </c>
      <c r="C10" s="13" t="s">
        <v>143</v>
      </c>
      <c r="D10" s="25"/>
      <c r="E10" s="25"/>
      <c r="G10" s="25" t="s">
        <v>144</v>
      </c>
      <c r="H10" s="25" t="s">
        <v>145</v>
      </c>
      <c r="I10" s="25" t="s">
        <v>136</v>
      </c>
      <c r="J10" s="25"/>
    </row>
    <row r="11" customFormat="false" ht="15" hidden="false" customHeight="false" outlineLevel="0" collapsed="false">
      <c r="B11" s="25"/>
      <c r="C11" s="13"/>
      <c r="D11" s="25"/>
      <c r="E11" s="25"/>
      <c r="G11" s="25" t="s">
        <v>144</v>
      </c>
      <c r="H11" s="25" t="s">
        <v>146</v>
      </c>
      <c r="I11" s="25" t="s">
        <v>137</v>
      </c>
      <c r="J11" s="25" t="s">
        <v>147</v>
      </c>
    </row>
    <row r="12" customFormat="false" ht="15" hidden="false" customHeight="false" outlineLevel="0" collapsed="false">
      <c r="B12" s="25"/>
      <c r="C12" s="13"/>
      <c r="D12" s="25"/>
      <c r="E12" s="25"/>
      <c r="G12" s="25" t="s">
        <v>148</v>
      </c>
      <c r="H12" s="25" t="s">
        <v>149</v>
      </c>
      <c r="I12" s="25" t="s">
        <v>136</v>
      </c>
      <c r="J12" s="25" t="s">
        <v>150</v>
      </c>
    </row>
    <row r="13" customFormat="false" ht="15" hidden="false" customHeight="false" outlineLevel="0" collapsed="false">
      <c r="B13" s="25"/>
      <c r="C13" s="13"/>
      <c r="D13" s="25"/>
      <c r="E13" s="25"/>
      <c r="G13" s="25" t="s">
        <v>148</v>
      </c>
      <c r="H13" s="25" t="s">
        <v>151</v>
      </c>
      <c r="I13" s="25" t="s">
        <v>136</v>
      </c>
      <c r="J13" s="25"/>
    </row>
    <row r="14" customFormat="false" ht="15" hidden="false" customHeight="false" outlineLevel="0" collapsed="false">
      <c r="B14" s="25"/>
      <c r="C14" s="13"/>
      <c r="D14" s="25"/>
      <c r="E14" s="25"/>
      <c r="G14" s="25" t="s">
        <v>148</v>
      </c>
      <c r="H14" s="25" t="s">
        <v>152</v>
      </c>
      <c r="I14" s="25" t="s">
        <v>136</v>
      </c>
      <c r="J14" s="25" t="s">
        <v>150</v>
      </c>
    </row>
    <row r="15" customFormat="false" ht="15" hidden="false" customHeight="false" outlineLevel="0" collapsed="false">
      <c r="B15" s="25"/>
      <c r="C15" s="13"/>
      <c r="D15" s="25"/>
      <c r="E15" s="25"/>
      <c r="G15" s="25" t="s">
        <v>153</v>
      </c>
      <c r="H15" s="25" t="s">
        <v>154</v>
      </c>
      <c r="I15" s="25" t="s">
        <v>155</v>
      </c>
      <c r="J15" s="25"/>
    </row>
    <row r="16" customFormat="false" ht="15" hidden="false" customHeight="false" outlineLevel="0" collapsed="false">
      <c r="B16" s="25"/>
      <c r="C16" s="13"/>
      <c r="D16" s="25"/>
      <c r="E16" s="25"/>
      <c r="G16" s="25" t="s">
        <v>153</v>
      </c>
      <c r="H16" s="25" t="s">
        <v>133</v>
      </c>
      <c r="I16" s="25" t="s">
        <v>130</v>
      </c>
      <c r="J16" s="25" t="s">
        <v>141</v>
      </c>
    </row>
    <row r="17" customFormat="false" ht="15" hidden="false" customHeight="false" outlineLevel="0" collapsed="false">
      <c r="B17" s="25"/>
      <c r="C17" s="13"/>
      <c r="D17" s="25"/>
      <c r="E17" s="25"/>
      <c r="G17" s="25"/>
      <c r="H17" s="25"/>
      <c r="I17" s="25"/>
      <c r="J17" s="25"/>
    </row>
    <row r="18" customFormat="false" ht="15" hidden="false" customHeight="false" outlineLevel="0" collapsed="false">
      <c r="B18" s="25"/>
      <c r="C18" s="13"/>
      <c r="D18" s="25"/>
      <c r="E18" s="25"/>
      <c r="G18" s="25"/>
      <c r="H18" s="25"/>
      <c r="I18" s="25"/>
      <c r="J18" s="25"/>
    </row>
    <row r="19" customFormat="false" ht="15" hidden="false" customHeight="false" outlineLevel="0" collapsed="false">
      <c r="B19" s="25"/>
      <c r="C19" s="13"/>
      <c r="D19" s="25"/>
      <c r="E19" s="25"/>
      <c r="G19" s="25"/>
      <c r="H19" s="25"/>
      <c r="I19" s="25"/>
      <c r="J19" s="25"/>
    </row>
    <row r="20" customFormat="false" ht="15" hidden="false" customHeight="false" outlineLevel="0" collapsed="false">
      <c r="B20" s="25"/>
      <c r="C20" s="13"/>
      <c r="D20" s="25"/>
      <c r="E20" s="25"/>
      <c r="G20" s="25"/>
      <c r="H20" s="25"/>
      <c r="I20" s="25"/>
      <c r="J20" s="25"/>
    </row>
    <row r="21" customFormat="false" ht="15" hidden="false" customHeight="false" outlineLevel="0" collapsed="false">
      <c r="B21" s="25"/>
      <c r="C21" s="13"/>
      <c r="D21" s="25"/>
      <c r="E21" s="25"/>
      <c r="G21" s="25"/>
      <c r="H21" s="25"/>
      <c r="I21" s="25"/>
      <c r="J21" s="25"/>
    </row>
    <row r="22" customFormat="false" ht="15" hidden="false" customHeight="false" outlineLevel="0" collapsed="false">
      <c r="B22" s="25"/>
      <c r="C22" s="13"/>
      <c r="D22" s="25"/>
      <c r="E22" s="25"/>
      <c r="G22" s="25"/>
      <c r="H22" s="25"/>
      <c r="I22" s="25"/>
      <c r="J22" s="25"/>
    </row>
    <row r="23" customFormat="false" ht="15" hidden="false" customHeight="false" outlineLevel="0" collapsed="false">
      <c r="B23" s="25"/>
      <c r="C23" s="13"/>
      <c r="D23" s="25"/>
      <c r="E23" s="25"/>
      <c r="G23" s="25"/>
      <c r="H23" s="25"/>
      <c r="I23" s="25"/>
      <c r="J23" s="25"/>
    </row>
    <row r="24" customFormat="false" ht="15" hidden="false" customHeight="false" outlineLevel="0" collapsed="false">
      <c r="B24" s="25"/>
      <c r="C24" s="13"/>
      <c r="D24" s="25"/>
      <c r="E24" s="25"/>
      <c r="G24" s="25"/>
      <c r="H24" s="25"/>
      <c r="I24" s="25"/>
      <c r="J24" s="25"/>
    </row>
    <row r="25" customFormat="false" ht="15" hidden="false" customHeight="false" outlineLevel="0" collapsed="false">
      <c r="B25" s="25"/>
      <c r="C25" s="13"/>
      <c r="D25" s="25"/>
      <c r="E25" s="25"/>
      <c r="G25" s="25"/>
      <c r="H25" s="25"/>
      <c r="I25" s="25"/>
      <c r="J25" s="25"/>
    </row>
    <row r="26" customFormat="false" ht="15" hidden="false" customHeight="false" outlineLevel="0" collapsed="false">
      <c r="B26" s="25"/>
      <c r="C26" s="13"/>
      <c r="D26" s="25"/>
      <c r="E26" s="25"/>
      <c r="G26" s="25"/>
      <c r="H26" s="25"/>
      <c r="I26" s="25"/>
      <c r="J26" s="25"/>
    </row>
    <row r="27" customFormat="false" ht="15" hidden="false" customHeight="false" outlineLevel="0" collapsed="false">
      <c r="B27" s="25"/>
      <c r="C27" s="13"/>
      <c r="D27" s="25"/>
      <c r="E27" s="25"/>
      <c r="G27" s="25"/>
      <c r="H27" s="25"/>
      <c r="I27" s="25"/>
      <c r="J27" s="25"/>
    </row>
  </sheetData>
  <conditionalFormatting sqref="C8:C27">
    <cfRule type="cellIs" priority="2" operator="equal" aboveAverage="0" equalAverage="0" bottom="0" percent="0" rank="0" text="" dxfId="3">
      <formula>"Yes"</formula>
    </cfRule>
    <cfRule type="cellIs" priority="3" operator="equal" aboveAverage="0" equalAverage="0" bottom="0" percent="0" rank="0" text="" dxfId="7">
      <formula>"No"</formula>
    </cfRule>
  </conditionalFormatting>
  <dataValidations count="2">
    <dataValidation allowBlank="true" errorStyle="stop" operator="between" showDropDown="false" showErrorMessage="false" showInputMessage="false" sqref="C8:C27" type="list">
      <formula1>"Yes,No,Maybe"</formula1>
      <formula2>0</formula2>
    </dataValidation>
    <dataValidation allowBlank="true" errorStyle="stop" operator="between" showDropDown="false" showErrorMessage="false" showInputMessage="false" sqref="G8:G27" type="list">
      <formula1>"Nibbles,Starter,Main,Sides,Dessert,Drinks,Cheese board"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I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8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  <c r="H1" s="2"/>
      <c r="I1" s="3"/>
    </row>
    <row r="2" customFormat="false" ht="31.5" hidden="false" customHeight="true" outlineLevel="0" collapsed="false">
      <c r="A2" s="4"/>
      <c r="B2" s="5" t="s">
        <v>156</v>
      </c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/>
      <c r="B3" s="6" t="s">
        <v>157</v>
      </c>
      <c r="C3" s="4"/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B5" s="12" t="s">
        <v>158</v>
      </c>
      <c r="C5" s="24" t="n">
        <f aca="false">SUM(F8:F157)</f>
        <v>65.5</v>
      </c>
      <c r="D5" s="12" t="s">
        <v>159</v>
      </c>
      <c r="E5" s="24" t="n">
        <f aca="false">SUM(G8:G157)</f>
        <v>38</v>
      </c>
    </row>
    <row r="7" customFormat="false" ht="21.75" hidden="false" customHeight="true" outlineLevel="0" collapsed="false">
      <c r="B7" s="22" t="s">
        <v>100</v>
      </c>
      <c r="C7" s="22" t="s">
        <v>160</v>
      </c>
      <c r="D7" s="22" t="s">
        <v>161</v>
      </c>
      <c r="E7" s="22" t="s">
        <v>155</v>
      </c>
      <c r="F7" s="22" t="s">
        <v>162</v>
      </c>
      <c r="G7" s="22" t="s">
        <v>50</v>
      </c>
      <c r="H7" s="22" t="s">
        <v>58</v>
      </c>
    </row>
    <row r="8" customFormat="false" ht="15" hidden="false" customHeight="false" outlineLevel="0" collapsed="false">
      <c r="B8" s="25" t="s">
        <v>163</v>
      </c>
      <c r="C8" s="25" t="s">
        <v>164</v>
      </c>
      <c r="D8" s="13" t="s">
        <v>165</v>
      </c>
      <c r="E8" s="25" t="s">
        <v>166</v>
      </c>
      <c r="F8" s="26" t="n">
        <v>35</v>
      </c>
      <c r="G8" s="26" t="n">
        <v>38</v>
      </c>
      <c r="H8" s="13" t="s">
        <v>115</v>
      </c>
    </row>
    <row r="9" customFormat="false" ht="15" hidden="false" customHeight="false" outlineLevel="0" collapsed="false">
      <c r="B9" s="25" t="s">
        <v>167</v>
      </c>
      <c r="C9" s="25" t="s">
        <v>168</v>
      </c>
      <c r="D9" s="13" t="s">
        <v>169</v>
      </c>
      <c r="E9" s="25" t="s">
        <v>170</v>
      </c>
      <c r="F9" s="26" t="n">
        <v>3</v>
      </c>
      <c r="G9" s="26"/>
      <c r="H9" s="13"/>
    </row>
    <row r="10" customFormat="false" ht="15" hidden="false" customHeight="false" outlineLevel="0" collapsed="false">
      <c r="B10" s="25" t="s">
        <v>171</v>
      </c>
      <c r="C10" s="25" t="s">
        <v>168</v>
      </c>
      <c r="D10" s="13" t="s">
        <v>172</v>
      </c>
      <c r="E10" s="25" t="s">
        <v>170</v>
      </c>
      <c r="F10" s="26" t="n">
        <v>1.5</v>
      </c>
      <c r="G10" s="26"/>
      <c r="H10" s="13"/>
    </row>
    <row r="11" customFormat="false" ht="15" hidden="false" customHeight="false" outlineLevel="0" collapsed="false">
      <c r="B11" s="25" t="s">
        <v>151</v>
      </c>
      <c r="C11" s="25" t="s">
        <v>164</v>
      </c>
      <c r="D11" s="13" t="s">
        <v>173</v>
      </c>
      <c r="E11" s="25" t="s">
        <v>170</v>
      </c>
      <c r="F11" s="26" t="n">
        <v>7</v>
      </c>
      <c r="G11" s="26"/>
      <c r="H11" s="13"/>
    </row>
    <row r="12" customFormat="false" ht="15" hidden="false" customHeight="false" outlineLevel="0" collapsed="false">
      <c r="B12" s="25" t="s">
        <v>174</v>
      </c>
      <c r="C12" s="25" t="s">
        <v>175</v>
      </c>
      <c r="D12" s="13" t="s">
        <v>176</v>
      </c>
      <c r="E12" s="25" t="s">
        <v>170</v>
      </c>
      <c r="F12" s="26" t="n">
        <v>3</v>
      </c>
      <c r="G12" s="26"/>
      <c r="H12" s="13"/>
    </row>
    <row r="13" customFormat="false" ht="15" hidden="false" customHeight="false" outlineLevel="0" collapsed="false">
      <c r="B13" s="25" t="s">
        <v>177</v>
      </c>
      <c r="C13" s="25" t="s">
        <v>178</v>
      </c>
      <c r="D13" s="13" t="s">
        <v>179</v>
      </c>
      <c r="E13" s="25" t="s">
        <v>170</v>
      </c>
      <c r="F13" s="26" t="n">
        <v>16</v>
      </c>
      <c r="G13" s="26"/>
      <c r="H13" s="13"/>
    </row>
    <row r="14" customFormat="false" ht="15" hidden="false" customHeight="false" outlineLevel="0" collapsed="false">
      <c r="B14" s="25"/>
      <c r="C14" s="25"/>
      <c r="D14" s="13"/>
      <c r="E14" s="25"/>
      <c r="F14" s="26"/>
      <c r="G14" s="26"/>
      <c r="H14" s="13"/>
    </row>
    <row r="15" customFormat="false" ht="15" hidden="false" customHeight="false" outlineLevel="0" collapsed="false">
      <c r="B15" s="25"/>
      <c r="C15" s="25"/>
      <c r="D15" s="13"/>
      <c r="E15" s="25"/>
      <c r="F15" s="26"/>
      <c r="G15" s="26"/>
      <c r="H15" s="13"/>
    </row>
    <row r="16" customFormat="false" ht="15" hidden="false" customHeight="false" outlineLevel="0" collapsed="false">
      <c r="B16" s="25"/>
      <c r="C16" s="25"/>
      <c r="D16" s="13"/>
      <c r="E16" s="25"/>
      <c r="F16" s="26"/>
      <c r="G16" s="26"/>
      <c r="H16" s="13"/>
    </row>
    <row r="17" customFormat="false" ht="15" hidden="false" customHeight="false" outlineLevel="0" collapsed="false">
      <c r="B17" s="25"/>
      <c r="C17" s="25"/>
      <c r="D17" s="13"/>
      <c r="E17" s="25"/>
      <c r="F17" s="26"/>
      <c r="G17" s="26"/>
      <c r="H17" s="13"/>
    </row>
    <row r="18" customFormat="false" ht="15" hidden="false" customHeight="false" outlineLevel="0" collapsed="false">
      <c r="B18" s="25"/>
      <c r="C18" s="25"/>
      <c r="D18" s="13"/>
      <c r="E18" s="25"/>
      <c r="F18" s="26"/>
      <c r="G18" s="26"/>
      <c r="H18" s="13"/>
    </row>
    <row r="19" customFormat="false" ht="15" hidden="false" customHeight="false" outlineLevel="0" collapsed="false">
      <c r="B19" s="25"/>
      <c r="C19" s="25"/>
      <c r="D19" s="13"/>
      <c r="E19" s="25"/>
      <c r="F19" s="26"/>
      <c r="G19" s="26"/>
      <c r="H19" s="13"/>
    </row>
    <row r="20" customFormat="false" ht="15" hidden="false" customHeight="false" outlineLevel="0" collapsed="false">
      <c r="B20" s="25"/>
      <c r="C20" s="25"/>
      <c r="D20" s="13"/>
      <c r="E20" s="25"/>
      <c r="F20" s="26"/>
      <c r="G20" s="26"/>
      <c r="H20" s="13"/>
    </row>
    <row r="21" customFormat="false" ht="15" hidden="false" customHeight="false" outlineLevel="0" collapsed="false">
      <c r="B21" s="25"/>
      <c r="C21" s="25"/>
      <c r="D21" s="13"/>
      <c r="E21" s="25"/>
      <c r="F21" s="26"/>
      <c r="G21" s="26"/>
      <c r="H21" s="13"/>
    </row>
    <row r="22" customFormat="false" ht="15" hidden="false" customHeight="false" outlineLevel="0" collapsed="false">
      <c r="B22" s="25"/>
      <c r="C22" s="25"/>
      <c r="D22" s="13"/>
      <c r="E22" s="25"/>
      <c r="F22" s="26"/>
      <c r="G22" s="26"/>
      <c r="H22" s="13"/>
    </row>
    <row r="23" customFormat="false" ht="15" hidden="false" customHeight="false" outlineLevel="0" collapsed="false">
      <c r="B23" s="25"/>
      <c r="C23" s="25"/>
      <c r="D23" s="13"/>
      <c r="E23" s="25"/>
      <c r="F23" s="26"/>
      <c r="G23" s="26"/>
      <c r="H23" s="13"/>
    </row>
    <row r="24" customFormat="false" ht="15" hidden="false" customHeight="false" outlineLevel="0" collapsed="false">
      <c r="B24" s="25"/>
      <c r="C24" s="25"/>
      <c r="D24" s="13"/>
      <c r="E24" s="25"/>
      <c r="F24" s="26"/>
      <c r="G24" s="26"/>
      <c r="H24" s="13"/>
    </row>
    <row r="25" customFormat="false" ht="15" hidden="false" customHeight="false" outlineLevel="0" collapsed="false">
      <c r="B25" s="25"/>
      <c r="C25" s="25"/>
      <c r="D25" s="13"/>
      <c r="E25" s="25"/>
      <c r="F25" s="26"/>
      <c r="G25" s="26"/>
      <c r="H25" s="13"/>
    </row>
    <row r="26" customFormat="false" ht="15" hidden="false" customHeight="false" outlineLevel="0" collapsed="false">
      <c r="B26" s="25"/>
      <c r="C26" s="25"/>
      <c r="D26" s="13"/>
      <c r="E26" s="25"/>
      <c r="F26" s="26"/>
      <c r="G26" s="26"/>
      <c r="H26" s="13"/>
    </row>
    <row r="27" customFormat="false" ht="15" hidden="false" customHeight="false" outlineLevel="0" collapsed="false">
      <c r="B27" s="25"/>
      <c r="C27" s="25"/>
      <c r="D27" s="13"/>
      <c r="E27" s="25"/>
      <c r="F27" s="26"/>
      <c r="G27" s="26"/>
      <c r="H27" s="13"/>
    </row>
    <row r="28" customFormat="false" ht="15" hidden="false" customHeight="false" outlineLevel="0" collapsed="false">
      <c r="B28" s="25"/>
      <c r="C28" s="25"/>
      <c r="D28" s="13"/>
      <c r="E28" s="25"/>
      <c r="F28" s="26"/>
      <c r="G28" s="26"/>
      <c r="H28" s="13"/>
    </row>
    <row r="29" customFormat="false" ht="15" hidden="false" customHeight="false" outlineLevel="0" collapsed="false">
      <c r="B29" s="25"/>
      <c r="C29" s="25"/>
      <c r="D29" s="13"/>
      <c r="E29" s="25"/>
      <c r="F29" s="26"/>
      <c r="G29" s="26"/>
      <c r="H29" s="13"/>
    </row>
    <row r="30" customFormat="false" ht="15" hidden="false" customHeight="false" outlineLevel="0" collapsed="false">
      <c r="B30" s="25"/>
      <c r="C30" s="25"/>
      <c r="D30" s="13"/>
      <c r="E30" s="25"/>
      <c r="F30" s="26"/>
      <c r="G30" s="26"/>
      <c r="H30" s="13"/>
    </row>
    <row r="31" customFormat="false" ht="15" hidden="false" customHeight="false" outlineLevel="0" collapsed="false">
      <c r="B31" s="25"/>
      <c r="C31" s="25"/>
      <c r="D31" s="13"/>
      <c r="E31" s="25"/>
      <c r="F31" s="26"/>
      <c r="G31" s="26"/>
      <c r="H31" s="13"/>
    </row>
    <row r="32" customFormat="false" ht="15" hidden="false" customHeight="false" outlineLevel="0" collapsed="false">
      <c r="B32" s="25"/>
      <c r="C32" s="25"/>
      <c r="D32" s="13"/>
      <c r="E32" s="25"/>
      <c r="F32" s="26"/>
      <c r="G32" s="26"/>
      <c r="H32" s="13"/>
    </row>
    <row r="33" customFormat="false" ht="15" hidden="false" customHeight="false" outlineLevel="0" collapsed="false">
      <c r="B33" s="25"/>
      <c r="C33" s="25"/>
      <c r="D33" s="13"/>
      <c r="E33" s="25"/>
      <c r="F33" s="26"/>
      <c r="G33" s="26"/>
      <c r="H33" s="13"/>
    </row>
    <row r="34" customFormat="false" ht="15" hidden="false" customHeight="false" outlineLevel="0" collapsed="false">
      <c r="B34" s="25"/>
      <c r="C34" s="25"/>
      <c r="D34" s="13"/>
      <c r="E34" s="25"/>
      <c r="F34" s="26"/>
      <c r="G34" s="26"/>
      <c r="H34" s="13"/>
    </row>
    <row r="35" customFormat="false" ht="15" hidden="false" customHeight="false" outlineLevel="0" collapsed="false">
      <c r="B35" s="25"/>
      <c r="C35" s="25"/>
      <c r="D35" s="13"/>
      <c r="E35" s="25"/>
      <c r="F35" s="26"/>
      <c r="G35" s="26"/>
      <c r="H35" s="13"/>
    </row>
    <row r="36" customFormat="false" ht="15" hidden="false" customHeight="false" outlineLevel="0" collapsed="false">
      <c r="B36" s="25"/>
      <c r="C36" s="25"/>
      <c r="D36" s="13"/>
      <c r="E36" s="25"/>
      <c r="F36" s="26"/>
      <c r="G36" s="26"/>
      <c r="H36" s="13"/>
    </row>
    <row r="37" customFormat="false" ht="15" hidden="false" customHeight="false" outlineLevel="0" collapsed="false">
      <c r="B37" s="25"/>
      <c r="C37" s="25"/>
      <c r="D37" s="13"/>
      <c r="E37" s="25"/>
      <c r="F37" s="26"/>
      <c r="G37" s="26"/>
      <c r="H37" s="13"/>
    </row>
    <row r="38" customFormat="false" ht="15" hidden="false" customHeight="false" outlineLevel="0" collapsed="false">
      <c r="B38" s="25"/>
      <c r="C38" s="25"/>
      <c r="D38" s="13"/>
      <c r="E38" s="25"/>
      <c r="F38" s="26"/>
      <c r="G38" s="26"/>
      <c r="H38" s="13"/>
    </row>
    <row r="39" customFormat="false" ht="15" hidden="false" customHeight="false" outlineLevel="0" collapsed="false">
      <c r="B39" s="25"/>
      <c r="C39" s="25"/>
      <c r="D39" s="13"/>
      <c r="E39" s="25"/>
      <c r="F39" s="26"/>
      <c r="G39" s="26"/>
      <c r="H39" s="13"/>
    </row>
    <row r="40" customFormat="false" ht="15" hidden="false" customHeight="false" outlineLevel="0" collapsed="false">
      <c r="B40" s="25"/>
      <c r="C40" s="25"/>
      <c r="D40" s="13"/>
      <c r="E40" s="25"/>
      <c r="F40" s="26"/>
      <c r="G40" s="26"/>
      <c r="H40" s="13"/>
    </row>
    <row r="41" customFormat="false" ht="15" hidden="false" customHeight="false" outlineLevel="0" collapsed="false">
      <c r="B41" s="25"/>
      <c r="C41" s="25"/>
      <c r="D41" s="13"/>
      <c r="E41" s="25"/>
      <c r="F41" s="26"/>
      <c r="G41" s="26"/>
      <c r="H41" s="13"/>
    </row>
    <row r="42" customFormat="false" ht="15" hidden="false" customHeight="false" outlineLevel="0" collapsed="false">
      <c r="B42" s="25"/>
      <c r="C42" s="25"/>
      <c r="D42" s="13"/>
      <c r="E42" s="25"/>
      <c r="F42" s="26"/>
      <c r="G42" s="26"/>
      <c r="H42" s="13"/>
    </row>
    <row r="43" customFormat="false" ht="15" hidden="false" customHeight="false" outlineLevel="0" collapsed="false">
      <c r="B43" s="25"/>
      <c r="C43" s="25"/>
      <c r="D43" s="13"/>
      <c r="E43" s="25"/>
      <c r="F43" s="26"/>
      <c r="G43" s="26"/>
      <c r="H43" s="13"/>
    </row>
    <row r="44" customFormat="false" ht="15" hidden="false" customHeight="false" outlineLevel="0" collapsed="false">
      <c r="B44" s="25"/>
      <c r="C44" s="25"/>
      <c r="D44" s="13"/>
      <c r="E44" s="25"/>
      <c r="F44" s="26"/>
      <c r="G44" s="26"/>
      <c r="H44" s="13"/>
    </row>
    <row r="45" customFormat="false" ht="15" hidden="false" customHeight="false" outlineLevel="0" collapsed="false">
      <c r="B45" s="25"/>
      <c r="C45" s="25"/>
      <c r="D45" s="13"/>
      <c r="E45" s="25"/>
      <c r="F45" s="26"/>
      <c r="G45" s="26"/>
      <c r="H45" s="13"/>
    </row>
    <row r="46" customFormat="false" ht="15" hidden="false" customHeight="false" outlineLevel="0" collapsed="false">
      <c r="B46" s="25"/>
      <c r="C46" s="25"/>
      <c r="D46" s="13"/>
      <c r="E46" s="25"/>
      <c r="F46" s="26"/>
      <c r="G46" s="26"/>
      <c r="H46" s="13"/>
    </row>
    <row r="47" customFormat="false" ht="15" hidden="false" customHeight="false" outlineLevel="0" collapsed="false">
      <c r="B47" s="25"/>
      <c r="C47" s="25"/>
      <c r="D47" s="13"/>
      <c r="E47" s="25"/>
      <c r="F47" s="26"/>
      <c r="G47" s="26"/>
      <c r="H47" s="13"/>
    </row>
    <row r="48" customFormat="false" ht="15" hidden="false" customHeight="false" outlineLevel="0" collapsed="false">
      <c r="B48" s="25"/>
      <c r="C48" s="25"/>
      <c r="D48" s="13"/>
      <c r="E48" s="25"/>
      <c r="F48" s="26"/>
      <c r="G48" s="26"/>
      <c r="H48" s="13"/>
    </row>
    <row r="49" customFormat="false" ht="15" hidden="false" customHeight="false" outlineLevel="0" collapsed="false">
      <c r="B49" s="25"/>
      <c r="C49" s="25"/>
      <c r="D49" s="13"/>
      <c r="E49" s="25"/>
      <c r="F49" s="26"/>
      <c r="G49" s="26"/>
      <c r="H49" s="13"/>
    </row>
    <row r="50" customFormat="false" ht="15" hidden="false" customHeight="false" outlineLevel="0" collapsed="false">
      <c r="B50" s="25"/>
      <c r="C50" s="25"/>
      <c r="D50" s="13"/>
      <c r="E50" s="25"/>
      <c r="F50" s="26"/>
      <c r="G50" s="26"/>
      <c r="H50" s="13"/>
    </row>
    <row r="51" customFormat="false" ht="15" hidden="false" customHeight="false" outlineLevel="0" collapsed="false">
      <c r="B51" s="25"/>
      <c r="C51" s="25"/>
      <c r="D51" s="13"/>
      <c r="E51" s="25"/>
      <c r="F51" s="26"/>
      <c r="G51" s="26"/>
      <c r="H51" s="13"/>
    </row>
    <row r="52" customFormat="false" ht="15" hidden="false" customHeight="false" outlineLevel="0" collapsed="false">
      <c r="B52" s="25"/>
      <c r="C52" s="25"/>
      <c r="D52" s="13"/>
      <c r="E52" s="25"/>
      <c r="F52" s="26"/>
      <c r="G52" s="26"/>
      <c r="H52" s="13"/>
    </row>
    <row r="53" customFormat="false" ht="15" hidden="false" customHeight="false" outlineLevel="0" collapsed="false">
      <c r="B53" s="25"/>
      <c r="C53" s="25"/>
      <c r="D53" s="13"/>
      <c r="E53" s="25"/>
      <c r="F53" s="26"/>
      <c r="G53" s="26"/>
      <c r="H53" s="13"/>
    </row>
    <row r="54" customFormat="false" ht="15" hidden="false" customHeight="false" outlineLevel="0" collapsed="false">
      <c r="B54" s="25"/>
      <c r="C54" s="25"/>
      <c r="D54" s="13"/>
      <c r="E54" s="25"/>
      <c r="F54" s="26"/>
      <c r="G54" s="26"/>
      <c r="H54" s="13"/>
    </row>
    <row r="55" customFormat="false" ht="15" hidden="false" customHeight="false" outlineLevel="0" collapsed="false">
      <c r="B55" s="25"/>
      <c r="C55" s="25"/>
      <c r="D55" s="13"/>
      <c r="E55" s="25"/>
      <c r="F55" s="26"/>
      <c r="G55" s="26"/>
      <c r="H55" s="13"/>
    </row>
    <row r="56" customFormat="false" ht="15" hidden="false" customHeight="false" outlineLevel="0" collapsed="false">
      <c r="B56" s="25"/>
      <c r="C56" s="25"/>
      <c r="D56" s="13"/>
      <c r="E56" s="25"/>
      <c r="F56" s="26"/>
      <c r="G56" s="26"/>
      <c r="H56" s="13"/>
    </row>
    <row r="57" customFormat="false" ht="15" hidden="false" customHeight="false" outlineLevel="0" collapsed="false">
      <c r="B57" s="25"/>
      <c r="C57" s="25"/>
      <c r="D57" s="13"/>
      <c r="E57" s="25"/>
      <c r="F57" s="26"/>
      <c r="G57" s="26"/>
      <c r="H57" s="13"/>
    </row>
    <row r="58" customFormat="false" ht="15" hidden="false" customHeight="false" outlineLevel="0" collapsed="false">
      <c r="B58" s="25"/>
      <c r="C58" s="25"/>
      <c r="D58" s="13"/>
      <c r="E58" s="25"/>
      <c r="F58" s="26"/>
      <c r="G58" s="26"/>
      <c r="H58" s="13"/>
    </row>
    <row r="59" customFormat="false" ht="15" hidden="false" customHeight="false" outlineLevel="0" collapsed="false">
      <c r="B59" s="25"/>
      <c r="C59" s="25"/>
      <c r="D59" s="13"/>
      <c r="E59" s="25"/>
      <c r="F59" s="26"/>
      <c r="G59" s="26"/>
      <c r="H59" s="13"/>
    </row>
    <row r="60" customFormat="false" ht="15" hidden="false" customHeight="false" outlineLevel="0" collapsed="false">
      <c r="B60" s="25"/>
      <c r="C60" s="25"/>
      <c r="D60" s="13"/>
      <c r="E60" s="25"/>
      <c r="F60" s="26"/>
      <c r="G60" s="26"/>
      <c r="H60" s="13"/>
    </row>
    <row r="61" customFormat="false" ht="15" hidden="false" customHeight="false" outlineLevel="0" collapsed="false">
      <c r="B61" s="25"/>
      <c r="C61" s="25"/>
      <c r="D61" s="13"/>
      <c r="E61" s="25"/>
      <c r="F61" s="26"/>
      <c r="G61" s="26"/>
      <c r="H61" s="13"/>
    </row>
    <row r="62" customFormat="false" ht="15" hidden="false" customHeight="false" outlineLevel="0" collapsed="false">
      <c r="B62" s="25"/>
      <c r="C62" s="25"/>
      <c r="D62" s="13"/>
      <c r="E62" s="25"/>
      <c r="F62" s="26"/>
      <c r="G62" s="26"/>
      <c r="H62" s="13"/>
    </row>
    <row r="63" customFormat="false" ht="15" hidden="false" customHeight="false" outlineLevel="0" collapsed="false">
      <c r="B63" s="25"/>
      <c r="C63" s="25"/>
      <c r="D63" s="13"/>
      <c r="E63" s="25"/>
      <c r="F63" s="26"/>
      <c r="G63" s="26"/>
      <c r="H63" s="13"/>
    </row>
    <row r="64" customFormat="false" ht="15" hidden="false" customHeight="false" outlineLevel="0" collapsed="false">
      <c r="B64" s="25"/>
      <c r="C64" s="25"/>
      <c r="D64" s="13"/>
      <c r="E64" s="25"/>
      <c r="F64" s="26"/>
      <c r="G64" s="26"/>
      <c r="H64" s="13"/>
    </row>
    <row r="65" customFormat="false" ht="15" hidden="false" customHeight="false" outlineLevel="0" collapsed="false">
      <c r="B65" s="25"/>
      <c r="C65" s="25"/>
      <c r="D65" s="13"/>
      <c r="E65" s="25"/>
      <c r="F65" s="26"/>
      <c r="G65" s="26"/>
      <c r="H65" s="13"/>
    </row>
    <row r="66" customFormat="false" ht="15" hidden="false" customHeight="false" outlineLevel="0" collapsed="false">
      <c r="B66" s="25"/>
      <c r="C66" s="25"/>
      <c r="D66" s="13"/>
      <c r="E66" s="25"/>
      <c r="F66" s="26"/>
      <c r="G66" s="26"/>
      <c r="H66" s="13"/>
    </row>
    <row r="67" customFormat="false" ht="15" hidden="false" customHeight="false" outlineLevel="0" collapsed="false">
      <c r="B67" s="25"/>
      <c r="C67" s="25"/>
      <c r="D67" s="13"/>
      <c r="E67" s="25"/>
      <c r="F67" s="26"/>
      <c r="G67" s="26"/>
      <c r="H67" s="13"/>
    </row>
    <row r="68" customFormat="false" ht="15" hidden="false" customHeight="false" outlineLevel="0" collapsed="false">
      <c r="B68" s="25"/>
      <c r="C68" s="25"/>
      <c r="D68" s="13"/>
      <c r="E68" s="25"/>
      <c r="F68" s="26"/>
      <c r="G68" s="26"/>
      <c r="H68" s="13"/>
    </row>
    <row r="69" customFormat="false" ht="15" hidden="false" customHeight="false" outlineLevel="0" collapsed="false">
      <c r="B69" s="25"/>
      <c r="C69" s="25"/>
      <c r="D69" s="13"/>
      <c r="E69" s="25"/>
      <c r="F69" s="26"/>
      <c r="G69" s="26"/>
      <c r="H69" s="13"/>
    </row>
    <row r="70" customFormat="false" ht="15" hidden="false" customHeight="false" outlineLevel="0" collapsed="false">
      <c r="B70" s="25"/>
      <c r="C70" s="25"/>
      <c r="D70" s="13"/>
      <c r="E70" s="25"/>
      <c r="F70" s="26"/>
      <c r="G70" s="26"/>
      <c r="H70" s="13"/>
    </row>
    <row r="71" customFormat="false" ht="15" hidden="false" customHeight="false" outlineLevel="0" collapsed="false">
      <c r="B71" s="25"/>
      <c r="C71" s="25"/>
      <c r="D71" s="13"/>
      <c r="E71" s="25"/>
      <c r="F71" s="26"/>
      <c r="G71" s="26"/>
      <c r="H71" s="13"/>
    </row>
    <row r="72" customFormat="false" ht="15" hidden="false" customHeight="false" outlineLevel="0" collapsed="false">
      <c r="B72" s="25"/>
      <c r="C72" s="25"/>
      <c r="D72" s="13"/>
      <c r="E72" s="25"/>
      <c r="F72" s="26"/>
      <c r="G72" s="26"/>
      <c r="H72" s="13"/>
    </row>
    <row r="73" customFormat="false" ht="15" hidden="false" customHeight="false" outlineLevel="0" collapsed="false">
      <c r="B73" s="25"/>
      <c r="C73" s="25"/>
      <c r="D73" s="13"/>
      <c r="E73" s="25"/>
      <c r="F73" s="26"/>
      <c r="G73" s="26"/>
      <c r="H73" s="13"/>
    </row>
    <row r="74" customFormat="false" ht="15" hidden="false" customHeight="false" outlineLevel="0" collapsed="false">
      <c r="B74" s="25"/>
      <c r="C74" s="25"/>
      <c r="D74" s="13"/>
      <c r="E74" s="25"/>
      <c r="F74" s="26"/>
      <c r="G74" s="26"/>
      <c r="H74" s="13"/>
    </row>
    <row r="75" customFormat="false" ht="15" hidden="false" customHeight="false" outlineLevel="0" collapsed="false">
      <c r="B75" s="25"/>
      <c r="C75" s="25"/>
      <c r="D75" s="13"/>
      <c r="E75" s="25"/>
      <c r="F75" s="26"/>
      <c r="G75" s="26"/>
      <c r="H75" s="13"/>
    </row>
    <row r="76" customFormat="false" ht="15" hidden="false" customHeight="false" outlineLevel="0" collapsed="false">
      <c r="B76" s="25"/>
      <c r="C76" s="25"/>
      <c r="D76" s="13"/>
      <c r="E76" s="25"/>
      <c r="F76" s="26"/>
      <c r="G76" s="26"/>
      <c r="H76" s="13"/>
    </row>
    <row r="77" customFormat="false" ht="15" hidden="false" customHeight="false" outlineLevel="0" collapsed="false">
      <c r="B77" s="25"/>
      <c r="C77" s="25"/>
      <c r="D77" s="13"/>
      <c r="E77" s="25"/>
      <c r="F77" s="26"/>
      <c r="G77" s="26"/>
      <c r="H77" s="13"/>
    </row>
    <row r="78" customFormat="false" ht="15" hidden="false" customHeight="false" outlineLevel="0" collapsed="false">
      <c r="B78" s="25"/>
      <c r="C78" s="25"/>
      <c r="D78" s="13"/>
      <c r="E78" s="25"/>
      <c r="F78" s="26"/>
      <c r="G78" s="26"/>
      <c r="H78" s="13"/>
    </row>
    <row r="79" customFormat="false" ht="15" hidden="false" customHeight="false" outlineLevel="0" collapsed="false">
      <c r="B79" s="25"/>
      <c r="C79" s="25"/>
      <c r="D79" s="13"/>
      <c r="E79" s="25"/>
      <c r="F79" s="26"/>
      <c r="G79" s="26"/>
      <c r="H79" s="13"/>
    </row>
    <row r="80" customFormat="false" ht="15" hidden="false" customHeight="false" outlineLevel="0" collapsed="false">
      <c r="B80" s="25"/>
      <c r="C80" s="25"/>
      <c r="D80" s="13"/>
      <c r="E80" s="25"/>
      <c r="F80" s="26"/>
      <c r="G80" s="26"/>
      <c r="H80" s="13"/>
    </row>
    <row r="81" customFormat="false" ht="15" hidden="false" customHeight="false" outlineLevel="0" collapsed="false">
      <c r="B81" s="25"/>
      <c r="C81" s="25"/>
      <c r="D81" s="13"/>
      <c r="E81" s="25"/>
      <c r="F81" s="26"/>
      <c r="G81" s="26"/>
      <c r="H81" s="13"/>
    </row>
    <row r="82" customFormat="false" ht="15" hidden="false" customHeight="false" outlineLevel="0" collapsed="false">
      <c r="B82" s="25"/>
      <c r="C82" s="25"/>
      <c r="D82" s="13"/>
      <c r="E82" s="25"/>
      <c r="F82" s="26"/>
      <c r="G82" s="26"/>
      <c r="H82" s="13"/>
    </row>
    <row r="83" customFormat="false" ht="15" hidden="false" customHeight="false" outlineLevel="0" collapsed="false">
      <c r="B83" s="25"/>
      <c r="C83" s="25"/>
      <c r="D83" s="13"/>
      <c r="E83" s="25"/>
      <c r="F83" s="26"/>
      <c r="G83" s="26"/>
      <c r="H83" s="13"/>
    </row>
    <row r="84" customFormat="false" ht="15" hidden="false" customHeight="false" outlineLevel="0" collapsed="false">
      <c r="B84" s="25"/>
      <c r="C84" s="25"/>
      <c r="D84" s="13"/>
      <c r="E84" s="25"/>
      <c r="F84" s="26"/>
      <c r="G84" s="26"/>
      <c r="H84" s="13"/>
    </row>
    <row r="85" customFormat="false" ht="15" hidden="false" customHeight="false" outlineLevel="0" collapsed="false">
      <c r="B85" s="25"/>
      <c r="C85" s="25"/>
      <c r="D85" s="13"/>
      <c r="E85" s="25"/>
      <c r="F85" s="26"/>
      <c r="G85" s="26"/>
      <c r="H85" s="13"/>
    </row>
    <row r="86" customFormat="false" ht="15" hidden="false" customHeight="false" outlineLevel="0" collapsed="false">
      <c r="B86" s="25"/>
      <c r="C86" s="25"/>
      <c r="D86" s="13"/>
      <c r="E86" s="25"/>
      <c r="F86" s="26"/>
      <c r="G86" s="26"/>
      <c r="H86" s="13"/>
    </row>
    <row r="87" customFormat="false" ht="15" hidden="false" customHeight="false" outlineLevel="0" collapsed="false">
      <c r="B87" s="25"/>
      <c r="C87" s="25"/>
      <c r="D87" s="13"/>
      <c r="E87" s="25"/>
      <c r="F87" s="26"/>
      <c r="G87" s="26"/>
      <c r="H87" s="13"/>
    </row>
    <row r="88" customFormat="false" ht="15" hidden="false" customHeight="false" outlineLevel="0" collapsed="false">
      <c r="B88" s="25"/>
      <c r="C88" s="25"/>
      <c r="D88" s="13"/>
      <c r="E88" s="25"/>
      <c r="F88" s="26"/>
      <c r="G88" s="26"/>
      <c r="H88" s="13"/>
    </row>
    <row r="89" customFormat="false" ht="15" hidden="false" customHeight="false" outlineLevel="0" collapsed="false">
      <c r="B89" s="25"/>
      <c r="C89" s="25"/>
      <c r="D89" s="13"/>
      <c r="E89" s="25"/>
      <c r="F89" s="26"/>
      <c r="G89" s="26"/>
      <c r="H89" s="13"/>
    </row>
    <row r="90" customFormat="false" ht="15" hidden="false" customHeight="false" outlineLevel="0" collapsed="false">
      <c r="B90" s="25"/>
      <c r="C90" s="25"/>
      <c r="D90" s="13"/>
      <c r="E90" s="25"/>
      <c r="F90" s="26"/>
      <c r="G90" s="26"/>
      <c r="H90" s="13"/>
    </row>
    <row r="91" customFormat="false" ht="15" hidden="false" customHeight="false" outlineLevel="0" collapsed="false">
      <c r="B91" s="25"/>
      <c r="C91" s="25"/>
      <c r="D91" s="13"/>
      <c r="E91" s="25"/>
      <c r="F91" s="26"/>
      <c r="G91" s="26"/>
      <c r="H91" s="13"/>
    </row>
    <row r="92" customFormat="false" ht="15" hidden="false" customHeight="false" outlineLevel="0" collapsed="false">
      <c r="B92" s="25"/>
      <c r="C92" s="25"/>
      <c r="D92" s="13"/>
      <c r="E92" s="25"/>
      <c r="F92" s="26"/>
      <c r="G92" s="26"/>
      <c r="H92" s="13"/>
    </row>
    <row r="93" customFormat="false" ht="15" hidden="false" customHeight="false" outlineLevel="0" collapsed="false">
      <c r="B93" s="25"/>
      <c r="C93" s="25"/>
      <c r="D93" s="13"/>
      <c r="E93" s="25"/>
      <c r="F93" s="26"/>
      <c r="G93" s="26"/>
      <c r="H93" s="13"/>
    </row>
    <row r="94" customFormat="false" ht="15" hidden="false" customHeight="false" outlineLevel="0" collapsed="false">
      <c r="B94" s="25"/>
      <c r="C94" s="25"/>
      <c r="D94" s="13"/>
      <c r="E94" s="25"/>
      <c r="F94" s="26"/>
      <c r="G94" s="26"/>
      <c r="H94" s="13"/>
    </row>
    <row r="95" customFormat="false" ht="15" hidden="false" customHeight="false" outlineLevel="0" collapsed="false">
      <c r="B95" s="25"/>
      <c r="C95" s="25"/>
      <c r="D95" s="13"/>
      <c r="E95" s="25"/>
      <c r="F95" s="26"/>
      <c r="G95" s="26"/>
      <c r="H95" s="13"/>
    </row>
    <row r="96" customFormat="false" ht="15" hidden="false" customHeight="false" outlineLevel="0" collapsed="false">
      <c r="B96" s="25"/>
      <c r="C96" s="25"/>
      <c r="D96" s="13"/>
      <c r="E96" s="25"/>
      <c r="F96" s="26"/>
      <c r="G96" s="26"/>
      <c r="H96" s="13"/>
    </row>
    <row r="97" customFormat="false" ht="15" hidden="false" customHeight="false" outlineLevel="0" collapsed="false">
      <c r="B97" s="25"/>
      <c r="C97" s="25"/>
      <c r="D97" s="13"/>
      <c r="E97" s="25"/>
      <c r="F97" s="26"/>
      <c r="G97" s="26"/>
      <c r="H97" s="13"/>
    </row>
    <row r="98" customFormat="false" ht="15" hidden="false" customHeight="false" outlineLevel="0" collapsed="false">
      <c r="B98" s="25"/>
      <c r="C98" s="25"/>
      <c r="D98" s="13"/>
      <c r="E98" s="25"/>
      <c r="F98" s="26"/>
      <c r="G98" s="26"/>
      <c r="H98" s="13"/>
    </row>
    <row r="99" customFormat="false" ht="15" hidden="false" customHeight="false" outlineLevel="0" collapsed="false">
      <c r="B99" s="25"/>
      <c r="C99" s="25"/>
      <c r="D99" s="13"/>
      <c r="E99" s="25"/>
      <c r="F99" s="26"/>
      <c r="G99" s="26"/>
      <c r="H99" s="13"/>
    </row>
    <row r="100" customFormat="false" ht="15" hidden="false" customHeight="false" outlineLevel="0" collapsed="false">
      <c r="B100" s="25"/>
      <c r="C100" s="25"/>
      <c r="D100" s="13"/>
      <c r="E100" s="25"/>
      <c r="F100" s="26"/>
      <c r="G100" s="26"/>
      <c r="H100" s="13"/>
    </row>
    <row r="101" customFormat="false" ht="15" hidden="false" customHeight="false" outlineLevel="0" collapsed="false">
      <c r="B101" s="25"/>
      <c r="C101" s="25"/>
      <c r="D101" s="13"/>
      <c r="E101" s="25"/>
      <c r="F101" s="26"/>
      <c r="G101" s="26"/>
      <c r="H101" s="13"/>
    </row>
    <row r="102" customFormat="false" ht="15" hidden="false" customHeight="false" outlineLevel="0" collapsed="false">
      <c r="B102" s="25"/>
      <c r="C102" s="25"/>
      <c r="D102" s="13"/>
      <c r="E102" s="25"/>
      <c r="F102" s="26"/>
      <c r="G102" s="26"/>
      <c r="H102" s="13"/>
    </row>
    <row r="103" customFormat="false" ht="15" hidden="false" customHeight="false" outlineLevel="0" collapsed="false">
      <c r="B103" s="25"/>
      <c r="C103" s="25"/>
      <c r="D103" s="13"/>
      <c r="E103" s="25"/>
      <c r="F103" s="26"/>
      <c r="G103" s="26"/>
      <c r="H103" s="13"/>
    </row>
    <row r="104" customFormat="false" ht="15" hidden="false" customHeight="false" outlineLevel="0" collapsed="false">
      <c r="B104" s="25"/>
      <c r="C104" s="25"/>
      <c r="D104" s="13"/>
      <c r="E104" s="25"/>
      <c r="F104" s="26"/>
      <c r="G104" s="26"/>
      <c r="H104" s="13"/>
    </row>
    <row r="105" customFormat="false" ht="15" hidden="false" customHeight="false" outlineLevel="0" collapsed="false">
      <c r="B105" s="25"/>
      <c r="C105" s="25"/>
      <c r="D105" s="13"/>
      <c r="E105" s="25"/>
      <c r="F105" s="26"/>
      <c r="G105" s="26"/>
      <c r="H105" s="13"/>
    </row>
    <row r="106" customFormat="false" ht="15" hidden="false" customHeight="false" outlineLevel="0" collapsed="false">
      <c r="B106" s="25"/>
      <c r="C106" s="25"/>
      <c r="D106" s="13"/>
      <c r="E106" s="25"/>
      <c r="F106" s="26"/>
      <c r="G106" s="26"/>
      <c r="H106" s="13"/>
    </row>
    <row r="107" customFormat="false" ht="15" hidden="false" customHeight="false" outlineLevel="0" collapsed="false">
      <c r="B107" s="25"/>
      <c r="C107" s="25"/>
      <c r="D107" s="13"/>
      <c r="E107" s="25"/>
      <c r="F107" s="26"/>
      <c r="G107" s="26"/>
      <c r="H107" s="13"/>
    </row>
    <row r="108" customFormat="false" ht="15" hidden="false" customHeight="false" outlineLevel="0" collapsed="false">
      <c r="B108" s="25"/>
      <c r="C108" s="25"/>
      <c r="D108" s="13"/>
      <c r="E108" s="25"/>
      <c r="F108" s="26"/>
      <c r="G108" s="26"/>
      <c r="H108" s="13"/>
    </row>
    <row r="109" customFormat="false" ht="15" hidden="false" customHeight="false" outlineLevel="0" collapsed="false">
      <c r="B109" s="25"/>
      <c r="C109" s="25"/>
      <c r="D109" s="13"/>
      <c r="E109" s="25"/>
      <c r="F109" s="26"/>
      <c r="G109" s="26"/>
      <c r="H109" s="13"/>
    </row>
    <row r="110" customFormat="false" ht="15" hidden="false" customHeight="false" outlineLevel="0" collapsed="false">
      <c r="B110" s="25"/>
      <c r="C110" s="25"/>
      <c r="D110" s="13"/>
      <c r="E110" s="25"/>
      <c r="F110" s="26"/>
      <c r="G110" s="26"/>
      <c r="H110" s="13"/>
    </row>
    <row r="111" customFormat="false" ht="15" hidden="false" customHeight="false" outlineLevel="0" collapsed="false">
      <c r="B111" s="25"/>
      <c r="C111" s="25"/>
      <c r="D111" s="13"/>
      <c r="E111" s="25"/>
      <c r="F111" s="26"/>
      <c r="G111" s="26"/>
      <c r="H111" s="13"/>
    </row>
    <row r="112" customFormat="false" ht="15" hidden="false" customHeight="false" outlineLevel="0" collapsed="false">
      <c r="B112" s="25"/>
      <c r="C112" s="25"/>
      <c r="D112" s="13"/>
      <c r="E112" s="25"/>
      <c r="F112" s="26"/>
      <c r="G112" s="26"/>
      <c r="H112" s="13"/>
    </row>
    <row r="113" customFormat="false" ht="15" hidden="false" customHeight="false" outlineLevel="0" collapsed="false">
      <c r="B113" s="25"/>
      <c r="C113" s="25"/>
      <c r="D113" s="13"/>
      <c r="E113" s="25"/>
      <c r="F113" s="26"/>
      <c r="G113" s="26"/>
      <c r="H113" s="13"/>
    </row>
    <row r="114" customFormat="false" ht="15" hidden="false" customHeight="false" outlineLevel="0" collapsed="false">
      <c r="B114" s="25"/>
      <c r="C114" s="25"/>
      <c r="D114" s="13"/>
      <c r="E114" s="25"/>
      <c r="F114" s="26"/>
      <c r="G114" s="26"/>
      <c r="H114" s="13"/>
    </row>
    <row r="115" customFormat="false" ht="15" hidden="false" customHeight="false" outlineLevel="0" collapsed="false">
      <c r="B115" s="25"/>
      <c r="C115" s="25"/>
      <c r="D115" s="13"/>
      <c r="E115" s="25"/>
      <c r="F115" s="26"/>
      <c r="G115" s="26"/>
      <c r="H115" s="13"/>
    </row>
    <row r="116" customFormat="false" ht="15" hidden="false" customHeight="false" outlineLevel="0" collapsed="false">
      <c r="B116" s="25"/>
      <c r="C116" s="25"/>
      <c r="D116" s="13"/>
      <c r="E116" s="25"/>
      <c r="F116" s="26"/>
      <c r="G116" s="26"/>
      <c r="H116" s="13"/>
    </row>
    <row r="117" customFormat="false" ht="15" hidden="false" customHeight="false" outlineLevel="0" collapsed="false">
      <c r="B117" s="25"/>
      <c r="C117" s="25"/>
      <c r="D117" s="13"/>
      <c r="E117" s="25"/>
      <c r="F117" s="26"/>
      <c r="G117" s="26"/>
      <c r="H117" s="13"/>
    </row>
    <row r="118" customFormat="false" ht="15" hidden="false" customHeight="false" outlineLevel="0" collapsed="false">
      <c r="B118" s="25"/>
      <c r="C118" s="25"/>
      <c r="D118" s="13"/>
      <c r="E118" s="25"/>
      <c r="F118" s="26"/>
      <c r="G118" s="26"/>
      <c r="H118" s="13"/>
    </row>
    <row r="119" customFormat="false" ht="15" hidden="false" customHeight="false" outlineLevel="0" collapsed="false">
      <c r="B119" s="25"/>
      <c r="C119" s="25"/>
      <c r="D119" s="13"/>
      <c r="E119" s="25"/>
      <c r="F119" s="26"/>
      <c r="G119" s="26"/>
      <c r="H119" s="13"/>
    </row>
    <row r="120" customFormat="false" ht="15" hidden="false" customHeight="false" outlineLevel="0" collapsed="false">
      <c r="B120" s="25"/>
      <c r="C120" s="25"/>
      <c r="D120" s="13"/>
      <c r="E120" s="25"/>
      <c r="F120" s="26"/>
      <c r="G120" s="26"/>
      <c r="H120" s="13"/>
    </row>
    <row r="121" customFormat="false" ht="15" hidden="false" customHeight="false" outlineLevel="0" collapsed="false">
      <c r="B121" s="25"/>
      <c r="C121" s="25"/>
      <c r="D121" s="13"/>
      <c r="E121" s="25"/>
      <c r="F121" s="26"/>
      <c r="G121" s="26"/>
      <c r="H121" s="13"/>
    </row>
    <row r="122" customFormat="false" ht="15" hidden="false" customHeight="false" outlineLevel="0" collapsed="false">
      <c r="B122" s="25"/>
      <c r="C122" s="25"/>
      <c r="D122" s="13"/>
      <c r="E122" s="25"/>
      <c r="F122" s="26"/>
      <c r="G122" s="26"/>
      <c r="H122" s="13"/>
    </row>
    <row r="123" customFormat="false" ht="15" hidden="false" customHeight="false" outlineLevel="0" collapsed="false">
      <c r="B123" s="25"/>
      <c r="C123" s="25"/>
      <c r="D123" s="13"/>
      <c r="E123" s="25"/>
      <c r="F123" s="26"/>
      <c r="G123" s="26"/>
      <c r="H123" s="13"/>
    </row>
    <row r="124" customFormat="false" ht="15" hidden="false" customHeight="false" outlineLevel="0" collapsed="false">
      <c r="B124" s="25"/>
      <c r="C124" s="25"/>
      <c r="D124" s="13"/>
      <c r="E124" s="25"/>
      <c r="F124" s="26"/>
      <c r="G124" s="26"/>
      <c r="H124" s="13"/>
    </row>
    <row r="125" customFormat="false" ht="15" hidden="false" customHeight="false" outlineLevel="0" collapsed="false">
      <c r="B125" s="25"/>
      <c r="C125" s="25"/>
      <c r="D125" s="13"/>
      <c r="E125" s="25"/>
      <c r="F125" s="26"/>
      <c r="G125" s="26"/>
      <c r="H125" s="13"/>
    </row>
    <row r="126" customFormat="false" ht="15" hidden="false" customHeight="false" outlineLevel="0" collapsed="false">
      <c r="B126" s="25"/>
      <c r="C126" s="25"/>
      <c r="D126" s="13"/>
      <c r="E126" s="25"/>
      <c r="F126" s="26"/>
      <c r="G126" s="26"/>
      <c r="H126" s="13"/>
    </row>
    <row r="127" customFormat="false" ht="15" hidden="false" customHeight="false" outlineLevel="0" collapsed="false">
      <c r="B127" s="25"/>
      <c r="C127" s="25"/>
      <c r="D127" s="13"/>
      <c r="E127" s="25"/>
      <c r="F127" s="26"/>
      <c r="G127" s="26"/>
      <c r="H127" s="13"/>
    </row>
    <row r="128" customFormat="false" ht="15" hidden="false" customHeight="false" outlineLevel="0" collapsed="false">
      <c r="B128" s="25"/>
      <c r="C128" s="25"/>
      <c r="D128" s="13"/>
      <c r="E128" s="25"/>
      <c r="F128" s="26"/>
      <c r="G128" s="26"/>
      <c r="H128" s="13"/>
    </row>
    <row r="129" customFormat="false" ht="15" hidden="false" customHeight="false" outlineLevel="0" collapsed="false">
      <c r="B129" s="25"/>
      <c r="C129" s="25"/>
      <c r="D129" s="13"/>
      <c r="E129" s="25"/>
      <c r="F129" s="26"/>
      <c r="G129" s="26"/>
      <c r="H129" s="13"/>
    </row>
    <row r="130" customFormat="false" ht="15" hidden="false" customHeight="false" outlineLevel="0" collapsed="false">
      <c r="B130" s="25"/>
      <c r="C130" s="25"/>
      <c r="D130" s="13"/>
      <c r="E130" s="25"/>
      <c r="F130" s="26"/>
      <c r="G130" s="26"/>
      <c r="H130" s="13"/>
    </row>
    <row r="131" customFormat="false" ht="15" hidden="false" customHeight="false" outlineLevel="0" collapsed="false">
      <c r="B131" s="25"/>
      <c r="C131" s="25"/>
      <c r="D131" s="13"/>
      <c r="E131" s="25"/>
      <c r="F131" s="26"/>
      <c r="G131" s="26"/>
      <c r="H131" s="13"/>
    </row>
    <row r="132" customFormat="false" ht="15" hidden="false" customHeight="false" outlineLevel="0" collapsed="false">
      <c r="B132" s="25"/>
      <c r="C132" s="25"/>
      <c r="D132" s="13"/>
      <c r="E132" s="25"/>
      <c r="F132" s="26"/>
      <c r="G132" s="26"/>
      <c r="H132" s="13"/>
    </row>
    <row r="133" customFormat="false" ht="15" hidden="false" customHeight="false" outlineLevel="0" collapsed="false">
      <c r="B133" s="25"/>
      <c r="C133" s="25"/>
      <c r="D133" s="13"/>
      <c r="E133" s="25"/>
      <c r="F133" s="26"/>
      <c r="G133" s="26"/>
      <c r="H133" s="13"/>
    </row>
    <row r="134" customFormat="false" ht="15" hidden="false" customHeight="false" outlineLevel="0" collapsed="false">
      <c r="B134" s="25"/>
      <c r="C134" s="25"/>
      <c r="D134" s="13"/>
      <c r="E134" s="25"/>
      <c r="F134" s="26"/>
      <c r="G134" s="26"/>
      <c r="H134" s="13"/>
    </row>
    <row r="135" customFormat="false" ht="15" hidden="false" customHeight="false" outlineLevel="0" collapsed="false">
      <c r="B135" s="25"/>
      <c r="C135" s="25"/>
      <c r="D135" s="13"/>
      <c r="E135" s="25"/>
      <c r="F135" s="26"/>
      <c r="G135" s="26"/>
      <c r="H135" s="13"/>
    </row>
    <row r="136" customFormat="false" ht="15" hidden="false" customHeight="false" outlineLevel="0" collapsed="false">
      <c r="B136" s="25"/>
      <c r="C136" s="25"/>
      <c r="D136" s="13"/>
      <c r="E136" s="25"/>
      <c r="F136" s="26"/>
      <c r="G136" s="26"/>
      <c r="H136" s="13"/>
    </row>
    <row r="137" customFormat="false" ht="15" hidden="false" customHeight="false" outlineLevel="0" collapsed="false">
      <c r="B137" s="25"/>
      <c r="C137" s="25"/>
      <c r="D137" s="13"/>
      <c r="E137" s="25"/>
      <c r="F137" s="26"/>
      <c r="G137" s="26"/>
      <c r="H137" s="13"/>
    </row>
    <row r="138" customFormat="false" ht="15" hidden="false" customHeight="false" outlineLevel="0" collapsed="false">
      <c r="B138" s="25"/>
      <c r="C138" s="25"/>
      <c r="D138" s="13"/>
      <c r="E138" s="25"/>
      <c r="F138" s="26"/>
      <c r="G138" s="26"/>
      <c r="H138" s="13"/>
    </row>
    <row r="139" customFormat="false" ht="15" hidden="false" customHeight="false" outlineLevel="0" collapsed="false">
      <c r="B139" s="25"/>
      <c r="C139" s="25"/>
      <c r="D139" s="13"/>
      <c r="E139" s="25"/>
      <c r="F139" s="26"/>
      <c r="G139" s="26"/>
      <c r="H139" s="13"/>
    </row>
    <row r="140" customFormat="false" ht="15" hidden="false" customHeight="false" outlineLevel="0" collapsed="false">
      <c r="B140" s="25"/>
      <c r="C140" s="25"/>
      <c r="D140" s="13"/>
      <c r="E140" s="25"/>
      <c r="F140" s="26"/>
      <c r="G140" s="26"/>
      <c r="H140" s="13"/>
    </row>
    <row r="141" customFormat="false" ht="15" hidden="false" customHeight="false" outlineLevel="0" collapsed="false">
      <c r="B141" s="25"/>
      <c r="C141" s="25"/>
      <c r="D141" s="13"/>
      <c r="E141" s="25"/>
      <c r="F141" s="26"/>
      <c r="G141" s="26"/>
      <c r="H141" s="13"/>
    </row>
    <row r="142" customFormat="false" ht="15" hidden="false" customHeight="false" outlineLevel="0" collapsed="false">
      <c r="B142" s="25"/>
      <c r="C142" s="25"/>
      <c r="D142" s="13"/>
      <c r="E142" s="25"/>
      <c r="F142" s="26"/>
      <c r="G142" s="26"/>
      <c r="H142" s="13"/>
    </row>
    <row r="143" customFormat="false" ht="15" hidden="false" customHeight="false" outlineLevel="0" collapsed="false">
      <c r="B143" s="25"/>
      <c r="C143" s="25"/>
      <c r="D143" s="13"/>
      <c r="E143" s="25"/>
      <c r="F143" s="26"/>
      <c r="G143" s="26"/>
      <c r="H143" s="13"/>
    </row>
    <row r="144" customFormat="false" ht="15" hidden="false" customHeight="false" outlineLevel="0" collapsed="false">
      <c r="B144" s="25"/>
      <c r="C144" s="25"/>
      <c r="D144" s="13"/>
      <c r="E144" s="25"/>
      <c r="F144" s="26"/>
      <c r="G144" s="26"/>
      <c r="H144" s="13"/>
    </row>
    <row r="145" customFormat="false" ht="15" hidden="false" customHeight="false" outlineLevel="0" collapsed="false">
      <c r="B145" s="25"/>
      <c r="C145" s="25"/>
      <c r="D145" s="13"/>
      <c r="E145" s="25"/>
      <c r="F145" s="26"/>
      <c r="G145" s="26"/>
      <c r="H145" s="13"/>
    </row>
    <row r="146" customFormat="false" ht="15" hidden="false" customHeight="false" outlineLevel="0" collapsed="false">
      <c r="B146" s="25"/>
      <c r="C146" s="25"/>
      <c r="D146" s="13"/>
      <c r="E146" s="25"/>
      <c r="F146" s="26"/>
      <c r="G146" s="26"/>
      <c r="H146" s="13"/>
    </row>
    <row r="147" customFormat="false" ht="15" hidden="false" customHeight="false" outlineLevel="0" collapsed="false">
      <c r="B147" s="25"/>
      <c r="C147" s="25"/>
      <c r="D147" s="13"/>
      <c r="E147" s="25"/>
      <c r="F147" s="26"/>
      <c r="G147" s="26"/>
      <c r="H147" s="13"/>
    </row>
    <row r="148" customFormat="false" ht="15" hidden="false" customHeight="false" outlineLevel="0" collapsed="false">
      <c r="B148" s="25"/>
      <c r="C148" s="25"/>
      <c r="D148" s="13"/>
      <c r="E148" s="25"/>
      <c r="F148" s="26"/>
      <c r="G148" s="26"/>
      <c r="H148" s="13"/>
    </row>
    <row r="149" customFormat="false" ht="15" hidden="false" customHeight="false" outlineLevel="0" collapsed="false">
      <c r="B149" s="25"/>
      <c r="C149" s="25"/>
      <c r="D149" s="13"/>
      <c r="E149" s="25"/>
      <c r="F149" s="26"/>
      <c r="G149" s="26"/>
      <c r="H149" s="13"/>
    </row>
    <row r="150" customFormat="false" ht="15" hidden="false" customHeight="false" outlineLevel="0" collapsed="false">
      <c r="B150" s="25"/>
      <c r="C150" s="25"/>
      <c r="D150" s="13"/>
      <c r="E150" s="25"/>
      <c r="F150" s="26"/>
      <c r="G150" s="26"/>
      <c r="H150" s="13"/>
    </row>
    <row r="151" customFormat="false" ht="15" hidden="false" customHeight="false" outlineLevel="0" collapsed="false">
      <c r="B151" s="25"/>
      <c r="C151" s="25"/>
      <c r="D151" s="13"/>
      <c r="E151" s="25"/>
      <c r="F151" s="26"/>
      <c r="G151" s="26"/>
      <c r="H151" s="13"/>
    </row>
    <row r="152" customFormat="false" ht="15" hidden="false" customHeight="false" outlineLevel="0" collapsed="false">
      <c r="B152" s="25"/>
      <c r="C152" s="25"/>
      <c r="D152" s="13"/>
      <c r="E152" s="25"/>
      <c r="F152" s="26"/>
      <c r="G152" s="26"/>
      <c r="H152" s="13"/>
    </row>
    <row r="153" customFormat="false" ht="15" hidden="false" customHeight="false" outlineLevel="0" collapsed="false">
      <c r="B153" s="25"/>
      <c r="C153" s="25"/>
      <c r="D153" s="13"/>
      <c r="E153" s="25"/>
      <c r="F153" s="26"/>
      <c r="G153" s="26"/>
      <c r="H153" s="13"/>
    </row>
    <row r="154" customFormat="false" ht="15" hidden="false" customHeight="false" outlineLevel="0" collapsed="false">
      <c r="B154" s="25"/>
      <c r="C154" s="25"/>
      <c r="D154" s="13"/>
      <c r="E154" s="25"/>
      <c r="F154" s="26"/>
      <c r="G154" s="26"/>
      <c r="H154" s="13"/>
    </row>
    <row r="155" customFormat="false" ht="15" hidden="false" customHeight="false" outlineLevel="0" collapsed="false">
      <c r="B155" s="25"/>
      <c r="C155" s="25"/>
      <c r="D155" s="13"/>
      <c r="E155" s="25"/>
      <c r="F155" s="26"/>
      <c r="G155" s="26"/>
      <c r="H155" s="13"/>
    </row>
    <row r="156" customFormat="false" ht="15" hidden="false" customHeight="false" outlineLevel="0" collapsed="false">
      <c r="B156" s="25"/>
      <c r="C156" s="25"/>
      <c r="D156" s="13"/>
      <c r="E156" s="25"/>
      <c r="F156" s="26"/>
      <c r="G156" s="26"/>
      <c r="H156" s="13"/>
    </row>
    <row r="157" customFormat="false" ht="15" hidden="false" customHeight="false" outlineLevel="0" collapsed="false">
      <c r="B157" s="25"/>
      <c r="C157" s="25"/>
      <c r="D157" s="13"/>
      <c r="E157" s="25"/>
      <c r="F157" s="26"/>
      <c r="G157" s="26"/>
      <c r="H157" s="13"/>
    </row>
  </sheetData>
  <conditionalFormatting sqref="B8:H157">
    <cfRule type="expression" priority="2" aboveAverage="0" equalAverage="0" bottom="0" percent="0" rank="0" text="" dxfId="6">
      <formula>$H8="✓"</formula>
    </cfRule>
  </conditionalFormatting>
  <dataValidations count="2">
    <dataValidation allowBlank="true" errorStyle="stop" operator="between" showDropDown="false" showErrorMessage="false" showInputMessage="false" sqref="H8:H157" type="list">
      <formula1>"✓"</formula1>
      <formula2>0</formula2>
    </dataValidation>
    <dataValidation allowBlank="true" errorStyle="stop" operator="between" showDropDown="false" showErrorMessage="false" showInputMessage="false" sqref="C8:C157" type="list">
      <formula1>"Meat &amp; fish,Fruit &amp; veg,Dairy,Bakery,Cupboard,Frozen,Drinks,Snacks,Other"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</row>
    <row r="2" customFormat="false" ht="31.5" hidden="false" customHeight="true" outlineLevel="0" collapsed="false">
      <c r="A2" s="4"/>
      <c r="B2" s="5" t="s">
        <v>180</v>
      </c>
      <c r="C2" s="4"/>
      <c r="D2" s="4"/>
      <c r="E2" s="4"/>
      <c r="F2" s="4"/>
    </row>
    <row r="3" customFormat="false" ht="15" hidden="false" customHeight="false" outlineLevel="0" collapsed="false">
      <c r="A3" s="4"/>
      <c r="B3" s="6" t="s">
        <v>181</v>
      </c>
      <c r="C3" s="4"/>
      <c r="D3" s="4"/>
      <c r="E3" s="4"/>
      <c r="F3" s="4"/>
    </row>
    <row r="5" customFormat="false" ht="15" hidden="false" customHeight="false" outlineLevel="0" collapsed="false">
      <c r="B5" s="12" t="s">
        <v>182</v>
      </c>
      <c r="C5" s="31" t="n">
        <v>0.583333333333333</v>
      </c>
    </row>
    <row r="7" customFormat="false" ht="21.75" hidden="false" customHeight="true" outlineLevel="0" collapsed="false">
      <c r="B7" s="17" t="s">
        <v>183</v>
      </c>
      <c r="C7" s="17" t="s">
        <v>184</v>
      </c>
      <c r="D7" s="17" t="s">
        <v>185</v>
      </c>
      <c r="E7" s="17" t="s">
        <v>186</v>
      </c>
    </row>
    <row r="8" customFormat="false" ht="15" hidden="false" customHeight="false" outlineLevel="0" collapsed="false">
      <c r="B8" s="25" t="s">
        <v>187</v>
      </c>
      <c r="C8" s="14" t="n">
        <v>210</v>
      </c>
      <c r="D8" s="32" t="n">
        <f aca="false">IF(C8="","",MOD($C$5-C8/1440,1))</f>
        <v>0.4375</v>
      </c>
      <c r="E8" s="13"/>
    </row>
    <row r="9" customFormat="false" ht="15" hidden="false" customHeight="false" outlineLevel="0" collapsed="false">
      <c r="B9" s="25" t="s">
        <v>188</v>
      </c>
      <c r="C9" s="14" t="n">
        <v>150</v>
      </c>
      <c r="D9" s="32" t="n">
        <f aca="false">IF(C9="","",MOD($C$5-C9/1440,1))</f>
        <v>0.479166666666667</v>
      </c>
      <c r="E9" s="13"/>
    </row>
    <row r="10" customFormat="false" ht="15" hidden="false" customHeight="false" outlineLevel="0" collapsed="false">
      <c r="B10" s="25" t="s">
        <v>189</v>
      </c>
      <c r="C10" s="14" t="n">
        <v>90</v>
      </c>
      <c r="D10" s="32" t="n">
        <f aca="false">IF(C10="","",MOD($C$5-C10/1440,1))</f>
        <v>0.520833333333333</v>
      </c>
      <c r="E10" s="13"/>
    </row>
    <row r="11" customFormat="false" ht="15" hidden="false" customHeight="false" outlineLevel="0" collapsed="false">
      <c r="B11" s="25" t="s">
        <v>190</v>
      </c>
      <c r="C11" s="14" t="n">
        <v>75</v>
      </c>
      <c r="D11" s="32" t="n">
        <f aca="false">IF(C11="","",MOD($C$5-C11/1440,1))</f>
        <v>0.53125</v>
      </c>
      <c r="E11" s="13"/>
    </row>
    <row r="12" customFormat="false" ht="15" hidden="false" customHeight="false" outlineLevel="0" collapsed="false">
      <c r="B12" s="25" t="s">
        <v>191</v>
      </c>
      <c r="C12" s="14" t="n">
        <v>45</v>
      </c>
      <c r="D12" s="32" t="n">
        <f aca="false">IF(C12="","",MOD($C$5-C12/1440,1))</f>
        <v>0.552083333333333</v>
      </c>
      <c r="E12" s="13"/>
    </row>
    <row r="13" customFormat="false" ht="15" hidden="false" customHeight="false" outlineLevel="0" collapsed="false">
      <c r="B13" s="25" t="s">
        <v>192</v>
      </c>
      <c r="C13" s="14" t="n">
        <v>40</v>
      </c>
      <c r="D13" s="32" t="n">
        <f aca="false">IF(C13="","",MOD($C$5-C13/1440,1))</f>
        <v>0.555555555555556</v>
      </c>
      <c r="E13" s="13"/>
    </row>
    <row r="14" customFormat="false" ht="15" hidden="false" customHeight="false" outlineLevel="0" collapsed="false">
      <c r="B14" s="25" t="s">
        <v>193</v>
      </c>
      <c r="C14" s="14" t="n">
        <v>20</v>
      </c>
      <c r="D14" s="32" t="n">
        <f aca="false">IF(C14="","",MOD($C$5-C14/1440,1))</f>
        <v>0.569444444444444</v>
      </c>
      <c r="E14" s="13"/>
    </row>
    <row r="15" customFormat="false" ht="15" hidden="false" customHeight="false" outlineLevel="0" collapsed="false">
      <c r="B15" s="25" t="s">
        <v>194</v>
      </c>
      <c r="C15" s="14" t="n">
        <v>15</v>
      </c>
      <c r="D15" s="32" t="n">
        <f aca="false">IF(C15="","",MOD($C$5-C15/1440,1))</f>
        <v>0.572916666666667</v>
      </c>
      <c r="E15" s="13"/>
    </row>
    <row r="16" customFormat="false" ht="15" hidden="false" customHeight="false" outlineLevel="0" collapsed="false">
      <c r="B16" s="25" t="s">
        <v>195</v>
      </c>
      <c r="C16" s="14" t="n">
        <v>10</v>
      </c>
      <c r="D16" s="32" t="n">
        <f aca="false">IF(C16="","",MOD($C$5-C16/1440,1))</f>
        <v>0.576388888888889</v>
      </c>
      <c r="E16" s="13"/>
    </row>
    <row r="17" customFormat="false" ht="15" hidden="false" customHeight="false" outlineLevel="0" collapsed="false">
      <c r="B17" s="25" t="s">
        <v>196</v>
      </c>
      <c r="C17" s="14" t="n">
        <v>0</v>
      </c>
      <c r="D17" s="32" t="n">
        <f aca="false">IF(C17="","",MOD($C$5-C17/1440,1))</f>
        <v>0.583333333333333</v>
      </c>
      <c r="E17" s="13"/>
    </row>
    <row r="18" customFormat="false" ht="15" hidden="false" customHeight="false" outlineLevel="0" collapsed="false">
      <c r="B18" s="25"/>
      <c r="C18" s="14"/>
      <c r="D18" s="32" t="str">
        <f aca="false">IF(C18="","",MOD($C$5-C18/1440,1))</f>
        <v/>
      </c>
      <c r="E18" s="13"/>
    </row>
    <row r="19" customFormat="false" ht="15" hidden="false" customHeight="false" outlineLevel="0" collapsed="false">
      <c r="B19" s="25"/>
      <c r="C19" s="14"/>
      <c r="D19" s="32" t="str">
        <f aca="false">IF(C19="","",MOD($C$5-C19/1440,1))</f>
        <v/>
      </c>
      <c r="E19" s="13"/>
    </row>
    <row r="20" customFormat="false" ht="15" hidden="false" customHeight="false" outlineLevel="0" collapsed="false">
      <c r="B20" s="25"/>
      <c r="C20" s="14"/>
      <c r="D20" s="32" t="str">
        <f aca="false">IF(C20="","",MOD($C$5-C20/1440,1))</f>
        <v/>
      </c>
      <c r="E20" s="13"/>
    </row>
    <row r="21" customFormat="false" ht="15" hidden="false" customHeight="false" outlineLevel="0" collapsed="false">
      <c r="B21" s="25"/>
      <c r="C21" s="14"/>
      <c r="D21" s="32" t="str">
        <f aca="false">IF(C21="","",MOD($C$5-C21/1440,1))</f>
        <v/>
      </c>
      <c r="E21" s="13"/>
    </row>
    <row r="22" customFormat="false" ht="15" hidden="false" customHeight="false" outlineLevel="0" collapsed="false">
      <c r="B22" s="25"/>
      <c r="C22" s="14"/>
      <c r="D22" s="32" t="str">
        <f aca="false">IF(C22="","",MOD($C$5-C22/1440,1))</f>
        <v/>
      </c>
      <c r="E22" s="13"/>
    </row>
    <row r="23" customFormat="false" ht="15" hidden="false" customHeight="false" outlineLevel="0" collapsed="false">
      <c r="B23" s="25"/>
      <c r="C23" s="14"/>
      <c r="D23" s="32" t="str">
        <f aca="false">IF(C23="","",MOD($C$5-C23/1440,1))</f>
        <v/>
      </c>
      <c r="E23" s="13"/>
    </row>
    <row r="24" customFormat="false" ht="15" hidden="false" customHeight="false" outlineLevel="0" collapsed="false">
      <c r="B24" s="25"/>
      <c r="C24" s="14"/>
      <c r="D24" s="32" t="str">
        <f aca="false">IF(C24="","",MOD($C$5-C24/1440,1))</f>
        <v/>
      </c>
      <c r="E24" s="13"/>
    </row>
    <row r="25" customFormat="false" ht="15" hidden="false" customHeight="false" outlineLevel="0" collapsed="false">
      <c r="B25" s="25"/>
      <c r="C25" s="14"/>
      <c r="D25" s="32" t="str">
        <f aca="false">IF(C25="","",MOD($C$5-C25/1440,1))</f>
        <v/>
      </c>
      <c r="E25" s="13"/>
    </row>
    <row r="26" customFormat="false" ht="15" hidden="false" customHeight="false" outlineLevel="0" collapsed="false">
      <c r="B26" s="25"/>
      <c r="C26" s="14"/>
      <c r="D26" s="32" t="str">
        <f aca="false">IF(C26="","",MOD($C$5-C26/1440,1))</f>
        <v/>
      </c>
      <c r="E26" s="13"/>
    </row>
    <row r="27" customFormat="false" ht="15" hidden="false" customHeight="false" outlineLevel="0" collapsed="false">
      <c r="B27" s="25"/>
      <c r="C27" s="14"/>
      <c r="D27" s="32" t="str">
        <f aca="false">IF(C27="","",MOD($C$5-C27/1440,1))</f>
        <v/>
      </c>
      <c r="E27" s="13"/>
    </row>
    <row r="28" customFormat="false" ht="15" hidden="false" customHeight="false" outlineLevel="0" collapsed="false">
      <c r="B28" s="25"/>
      <c r="C28" s="14"/>
      <c r="D28" s="32" t="str">
        <f aca="false">IF(C28="","",MOD($C$5-C28/1440,1))</f>
        <v/>
      </c>
      <c r="E28" s="13"/>
    </row>
    <row r="29" customFormat="false" ht="15" hidden="false" customHeight="false" outlineLevel="0" collapsed="false">
      <c r="B29" s="25"/>
      <c r="C29" s="14"/>
      <c r="D29" s="32" t="str">
        <f aca="false">IF(C29="","",MOD($C$5-C29/1440,1))</f>
        <v/>
      </c>
      <c r="E29" s="13"/>
    </row>
    <row r="30" customFormat="false" ht="15" hidden="false" customHeight="false" outlineLevel="0" collapsed="false">
      <c r="B30" s="25"/>
      <c r="C30" s="14"/>
      <c r="D30" s="32" t="str">
        <f aca="false">IF(C30="","",MOD($C$5-C30/1440,1))</f>
        <v/>
      </c>
      <c r="E30" s="13"/>
    </row>
    <row r="31" customFormat="false" ht="15" hidden="false" customHeight="false" outlineLevel="0" collapsed="false">
      <c r="B31" s="25"/>
      <c r="C31" s="14"/>
      <c r="D31" s="32" t="str">
        <f aca="false">IF(C31="","",MOD($C$5-C31/1440,1))</f>
        <v/>
      </c>
      <c r="E31" s="13"/>
    </row>
    <row r="32" customFormat="false" ht="15" hidden="false" customHeight="false" outlineLevel="0" collapsed="false">
      <c r="B32" s="25"/>
      <c r="C32" s="14"/>
      <c r="D32" s="32" t="str">
        <f aca="false">IF(C32="","",MOD($C$5-C32/1440,1))</f>
        <v/>
      </c>
      <c r="E32" s="13"/>
    </row>
    <row r="33" customFormat="false" ht="15" hidden="false" customHeight="false" outlineLevel="0" collapsed="false">
      <c r="B33" s="25"/>
      <c r="C33" s="14"/>
      <c r="D33" s="32" t="str">
        <f aca="false">IF(C33="","",MOD($C$5-C33/1440,1))</f>
        <v/>
      </c>
      <c r="E33" s="13"/>
    </row>
    <row r="34" customFormat="false" ht="15" hidden="false" customHeight="false" outlineLevel="0" collapsed="false">
      <c r="B34" s="25"/>
      <c r="C34" s="14"/>
      <c r="D34" s="32" t="str">
        <f aca="false">IF(C34="","",MOD($C$5-C34/1440,1))</f>
        <v/>
      </c>
      <c r="E34" s="13"/>
    </row>
    <row r="35" customFormat="false" ht="15" hidden="false" customHeight="false" outlineLevel="0" collapsed="false">
      <c r="B35" s="25"/>
      <c r="C35" s="14"/>
      <c r="D35" s="32" t="str">
        <f aca="false">IF(C35="","",MOD($C$5-C35/1440,1))</f>
        <v/>
      </c>
      <c r="E35" s="13"/>
    </row>
    <row r="36" customFormat="false" ht="15" hidden="false" customHeight="false" outlineLevel="0" collapsed="false">
      <c r="B36" s="25"/>
      <c r="C36" s="14"/>
      <c r="D36" s="32" t="str">
        <f aca="false">IF(C36="","",MOD($C$5-C36/1440,1))</f>
        <v/>
      </c>
      <c r="E36" s="13"/>
    </row>
    <row r="37" customFormat="false" ht="15" hidden="false" customHeight="false" outlineLevel="0" collapsed="false">
      <c r="B37" s="25"/>
      <c r="C37" s="14"/>
      <c r="D37" s="32" t="str">
        <f aca="false">IF(C37="","",MOD($C$5-C37/1440,1))</f>
        <v/>
      </c>
      <c r="E37" s="13"/>
    </row>
    <row r="38" customFormat="false" ht="15" hidden="false" customHeight="false" outlineLevel="0" collapsed="false">
      <c r="B38" s="25"/>
      <c r="C38" s="14"/>
      <c r="D38" s="32" t="str">
        <f aca="false">IF(C38="","",MOD($C$5-C38/1440,1))</f>
        <v/>
      </c>
      <c r="E38" s="13"/>
    </row>
    <row r="39" customFormat="false" ht="15" hidden="false" customHeight="false" outlineLevel="0" collapsed="false">
      <c r="B39" s="25"/>
      <c r="C39" s="14"/>
      <c r="D39" s="32" t="str">
        <f aca="false">IF(C39="","",MOD($C$5-C39/1440,1))</f>
        <v/>
      </c>
      <c r="E39" s="13"/>
    </row>
    <row r="40" customFormat="false" ht="15" hidden="false" customHeight="false" outlineLevel="0" collapsed="false">
      <c r="B40" s="25"/>
      <c r="C40" s="14"/>
      <c r="D40" s="32" t="str">
        <f aca="false">IF(C40="","",MOD($C$5-C40/1440,1))</f>
        <v/>
      </c>
      <c r="E40" s="13"/>
    </row>
    <row r="41" customFormat="false" ht="15" hidden="false" customHeight="false" outlineLevel="0" collapsed="false">
      <c r="B41" s="25"/>
      <c r="C41" s="14"/>
      <c r="D41" s="32" t="str">
        <f aca="false">IF(C41="","",MOD($C$5-C41/1440,1))</f>
        <v/>
      </c>
      <c r="E41" s="13"/>
    </row>
    <row r="42" customFormat="false" ht="15" hidden="false" customHeight="false" outlineLevel="0" collapsed="false">
      <c r="B42" s="25"/>
      <c r="C42" s="14"/>
      <c r="D42" s="32" t="str">
        <f aca="false">IF(C42="","",MOD($C$5-C42/1440,1))</f>
        <v/>
      </c>
      <c r="E42" s="13"/>
    </row>
    <row r="43" customFormat="false" ht="15" hidden="false" customHeight="false" outlineLevel="0" collapsed="false">
      <c r="B43" s="25"/>
      <c r="C43" s="14"/>
      <c r="D43" s="32" t="str">
        <f aca="false">IF(C43="","",MOD($C$5-C43/1440,1))</f>
        <v/>
      </c>
      <c r="E43" s="13"/>
    </row>
    <row r="44" customFormat="false" ht="15" hidden="false" customHeight="false" outlineLevel="0" collapsed="false">
      <c r="B44" s="25"/>
      <c r="C44" s="14"/>
      <c r="D44" s="32" t="str">
        <f aca="false">IF(C44="","",MOD($C$5-C44/1440,1))</f>
        <v/>
      </c>
      <c r="E44" s="13"/>
    </row>
    <row r="45" customFormat="false" ht="15" hidden="false" customHeight="false" outlineLevel="0" collapsed="false">
      <c r="B45" s="25"/>
      <c r="C45" s="14"/>
      <c r="D45" s="32" t="str">
        <f aca="false">IF(C45="","",MOD($C$5-C45/1440,1))</f>
        <v/>
      </c>
      <c r="E45" s="13"/>
    </row>
    <row r="46" customFormat="false" ht="15" hidden="false" customHeight="false" outlineLevel="0" collapsed="false">
      <c r="B46" s="25"/>
      <c r="C46" s="14"/>
      <c r="D46" s="32" t="str">
        <f aca="false">IF(C46="","",MOD($C$5-C46/1440,1))</f>
        <v/>
      </c>
      <c r="E46" s="13"/>
    </row>
    <row r="47" customFormat="false" ht="15" hidden="false" customHeight="false" outlineLevel="0" collapsed="false">
      <c r="B47" s="25"/>
      <c r="C47" s="14"/>
      <c r="D47" s="32" t="str">
        <f aca="false">IF(C47="","",MOD($C$5-C47/1440,1))</f>
        <v/>
      </c>
      <c r="E47" s="13"/>
    </row>
    <row r="49" customFormat="false" ht="15" hidden="false" customHeight="false" outlineLevel="0" collapsed="false">
      <c r="B49" s="11" t="s">
        <v>197</v>
      </c>
    </row>
    <row r="50" customFormat="false" ht="15" hidden="false" customHeight="false" outlineLevel="0" collapsed="false">
      <c r="B50" s="11" t="s">
        <v>198</v>
      </c>
    </row>
  </sheetData>
  <conditionalFormatting sqref="B8:E47">
    <cfRule type="expression" priority="2" aboveAverage="0" equalAverage="0" bottom="0" percent="0" rank="0" text="" dxfId="6">
      <formula>$E8="✓"</formula>
    </cfRule>
  </conditionalFormatting>
  <dataValidations count="1">
    <dataValidation allowBlank="true" errorStyle="stop" operator="between" showDropDown="false" showErrorMessage="false" showInputMessage="false" sqref="E8:E47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4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true" outlineLevel="0" max="10" min="8" style="0" width="13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</row>
    <row r="2" customFormat="false" ht="31.5" hidden="false" customHeight="true" outlineLevel="0" collapsed="false">
      <c r="A2" s="4"/>
      <c r="B2" s="5" t="s">
        <v>69</v>
      </c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6" t="s">
        <v>199</v>
      </c>
      <c r="C3" s="4"/>
      <c r="D3" s="4"/>
      <c r="E3" s="4"/>
      <c r="F3" s="4"/>
      <c r="G3" s="4"/>
    </row>
    <row r="5" customFormat="false" ht="21.75" hidden="false" customHeight="true" outlineLevel="0" collapsed="false">
      <c r="B5" s="12" t="s">
        <v>200</v>
      </c>
      <c r="C5" s="15" t="n">
        <v>15</v>
      </c>
      <c r="F5" s="18" t="s">
        <v>201</v>
      </c>
      <c r="G5" s="18"/>
    </row>
    <row r="6" customFormat="false" ht="15" hidden="false" customHeight="false" outlineLevel="0" collapsed="false">
      <c r="B6" s="12" t="s">
        <v>202</v>
      </c>
      <c r="C6" s="33" t="n">
        <v>46376</v>
      </c>
      <c r="F6" s="19" t="s">
        <v>203</v>
      </c>
      <c r="G6" s="13"/>
    </row>
    <row r="7" customFormat="false" ht="25.5" hidden="false" customHeight="true" outlineLevel="0" collapsed="false">
      <c r="B7" s="12" t="s">
        <v>204</v>
      </c>
      <c r="C7" s="14" t="n">
        <v>7</v>
      </c>
      <c r="D7" s="11" t="s">
        <v>205</v>
      </c>
      <c r="F7" s="19" t="s">
        <v>206</v>
      </c>
      <c r="G7" s="34" t="str">
        <f aca="false">IF(G6="","",IFERROR(INDEX($J$12:$J$41,MATCH(G6,$B$12:$B$41,0)),"Name not found"))</f>
        <v/>
      </c>
    </row>
    <row r="8" customFormat="false" ht="15" hidden="false" customHeight="false" outlineLevel="0" collapsed="false">
      <c r="F8" s="19" t="s">
        <v>207</v>
      </c>
      <c r="G8" s="35" t="str">
        <f aca="false">IF(OR(G7="",G7="Name not found"),"",IF(INDEX($C$12:$C$41,MATCH(G7,$B$12:$B$41,0))="","—",INDEX($C$12:$C$41,MATCH(G7,$B$12:$B$41,0))))</f>
        <v/>
      </c>
    </row>
    <row r="9" customFormat="false" ht="15" hidden="false" customHeight="false" outlineLevel="0" collapsed="false">
      <c r="F9" s="19" t="s">
        <v>208</v>
      </c>
      <c r="G9" s="35" t="str">
        <f aca="false">IF(OR(G7="",G7="Name not found"),"",IF(INDEX($D$12:$D$41,MATCH(G7,$B$12:$B$41,0))="","—",INDEX($D$12:$D$41,MATCH(G7,$B$12:$B$41,0))))</f>
        <v/>
      </c>
    </row>
    <row r="11" customFormat="false" ht="21.75" hidden="false" customHeight="true" outlineLevel="0" collapsed="false">
      <c r="B11" s="17" t="s">
        <v>107</v>
      </c>
      <c r="C11" s="17" t="s">
        <v>209</v>
      </c>
      <c r="D11" s="17" t="s">
        <v>210</v>
      </c>
      <c r="H11" s="36" t="s">
        <v>211</v>
      </c>
      <c r="I11" s="36" t="s">
        <v>212</v>
      </c>
      <c r="J11" s="36" t="s">
        <v>213</v>
      </c>
    </row>
    <row r="12" customFormat="false" ht="15" hidden="false" customHeight="false" outlineLevel="0" collapsed="false">
      <c r="B12" s="25" t="s">
        <v>214</v>
      </c>
      <c r="C12" s="25" t="s">
        <v>215</v>
      </c>
      <c r="D12" s="25"/>
      <c r="H12" s="36" t="n">
        <f aca="false">IF(B12="","",MOD(ROW()^2*$C$7*7919+ROW()*104729+$C$7*31,10007)+ROW()/1000)</f>
        <v>2856.012</v>
      </c>
      <c r="I12" s="36" t="n">
        <f aca="false">IF(B12="","",RANK(H12,$H$12:$H$41))</f>
        <v>4</v>
      </c>
      <c r="J12" s="0" t="str">
        <f aca="false">IF(B12="","",INDEX($B$12:$B$41,MATCH(IF(I12=COUNTA($B$12:$B$41),1,I12+1),$I$12:$I$41,0)))</f>
        <v>Jordan</v>
      </c>
    </row>
    <row r="13" customFormat="false" ht="15" hidden="false" customHeight="false" outlineLevel="0" collapsed="false">
      <c r="B13" s="25" t="s">
        <v>216</v>
      </c>
      <c r="C13" s="25"/>
      <c r="D13" s="25" t="s">
        <v>217</v>
      </c>
      <c r="H13" s="36" t="n">
        <f aca="false">IF(B13="","",MOD(ROW()^2*$C$7*7919+ROW()*104729+$C$7*31,10007)+ROW()/1000)</f>
        <v>2367.013</v>
      </c>
      <c r="I13" s="36" t="n">
        <f aca="false">IF(B13="","",RANK(H13,$H$12:$H$41))</f>
        <v>6</v>
      </c>
      <c r="J13" s="0" t="str">
        <f aca="false">IF(B13="","",INDEX($B$12:$B$41,MATCH(IF(I13=COUNTA($B$12:$B$41),1,I13+1),$I$12:$I$41,0)))</f>
        <v>Mo</v>
      </c>
    </row>
    <row r="14" customFormat="false" ht="15" hidden="false" customHeight="false" outlineLevel="0" collapsed="false">
      <c r="B14" s="25" t="s">
        <v>218</v>
      </c>
      <c r="C14" s="25"/>
      <c r="D14" s="25"/>
      <c r="H14" s="36" t="n">
        <f aca="false">IF(B14="","",MOD(ROW()^2*$C$7*7919+ROW()*104729+$C$7*31,10007)+ROW()/1000)</f>
        <v>2667.014</v>
      </c>
      <c r="I14" s="36" t="n">
        <f aca="false">IF(B14="","",RANK(H14,$H$12:$H$41))</f>
        <v>5</v>
      </c>
      <c r="J14" s="0" t="str">
        <f aca="false">IF(B14="","",INDEX($B$12:$B$41,MATCH(IF(I14=COUNTA($B$12:$B$41),1,I14+1),$I$12:$I$41,0)))</f>
        <v>Sam</v>
      </c>
    </row>
    <row r="15" customFormat="false" ht="15" hidden="false" customHeight="false" outlineLevel="0" collapsed="false">
      <c r="B15" s="25" t="s">
        <v>142</v>
      </c>
      <c r="C15" s="25"/>
      <c r="D15" s="25"/>
      <c r="H15" s="36" t="n">
        <f aca="false">IF(B15="","",MOD(ROW()^2*$C$7*7919+ROW()*104729+$C$7*31,10007)+ROW()/1000)</f>
        <v>3756.015</v>
      </c>
      <c r="I15" s="36" t="n">
        <f aca="false">IF(B15="","",RANK(H15,$H$12:$H$41))</f>
        <v>3</v>
      </c>
      <c r="J15" s="0" t="str">
        <f aca="false">IF(B15="","",INDEX($B$12:$B$41,MATCH(IF(I15=COUNTA($B$12:$B$41),1,I15+1),$I$12:$I$41,0)))</f>
        <v>Alex</v>
      </c>
    </row>
    <row r="16" customFormat="false" ht="15" hidden="false" customHeight="false" outlineLevel="0" collapsed="false">
      <c r="B16" s="25" t="s">
        <v>219</v>
      </c>
      <c r="C16" s="25"/>
      <c r="D16" s="25"/>
      <c r="H16" s="36" t="n">
        <f aca="false">IF(B16="","",MOD(ROW()^2*$C$7*7919+ROW()*104729+$C$7*31,10007)+ROW()/1000)</f>
        <v>5634.016</v>
      </c>
      <c r="I16" s="36" t="n">
        <f aca="false">IF(B16="","",RANK(H16,$H$12:$H$41))</f>
        <v>2</v>
      </c>
      <c r="J16" s="0" t="str">
        <f aca="false">IF(B16="","",INDEX($B$12:$B$41,MATCH(IF(I16=COUNTA($B$12:$B$41),1,I16+1),$I$12:$I$41,0)))</f>
        <v>Priya</v>
      </c>
    </row>
    <row r="17" customFormat="false" ht="15" hidden="false" customHeight="false" outlineLevel="0" collapsed="false">
      <c r="B17" s="25" t="s">
        <v>220</v>
      </c>
      <c r="C17" s="25"/>
      <c r="D17" s="25"/>
      <c r="H17" s="36" t="n">
        <f aca="false">IF(B17="","",MOD(ROW()^2*$C$7*7919+ROW()*104729+$C$7*31,10007)+ROW()/1000)</f>
        <v>8301.017</v>
      </c>
      <c r="I17" s="36" t="n">
        <f aca="false">IF(B17="","",RANK(H17,$H$12:$H$41))</f>
        <v>1</v>
      </c>
      <c r="J17" s="0" t="str">
        <f aca="false">IF(B17="","",INDEX($B$12:$B$41,MATCH(IF(I17=COUNTA($B$12:$B$41),1,I17+1),$I$12:$I$41,0)))</f>
        <v>Chris</v>
      </c>
    </row>
    <row r="18" customFormat="false" ht="15" hidden="false" customHeight="false" outlineLevel="0" collapsed="false">
      <c r="B18" s="25"/>
      <c r="C18" s="25"/>
      <c r="D18" s="25"/>
      <c r="H18" s="0" t="str">
        <f aca="false">IF(B18="","",MOD(ROW()^2*$C$7*7919+ROW()*104729+$C$7*31,10007)+ROW()/1000)</f>
        <v/>
      </c>
      <c r="I18" s="0" t="str">
        <f aca="false">IF(B18="","",RANK(H18,$H$12:$H$41))</f>
        <v/>
      </c>
      <c r="J18" s="0" t="str">
        <f aca="false">IF(B18="","",INDEX($B$12:$B$41,MATCH(IF(I18=COUNTA($B$12:$B$41),1,I18+1),$I$12:$I$41,0)))</f>
        <v/>
      </c>
    </row>
    <row r="19" customFormat="false" ht="15" hidden="false" customHeight="false" outlineLevel="0" collapsed="false">
      <c r="B19" s="25"/>
      <c r="C19" s="25"/>
      <c r="D19" s="25"/>
      <c r="H19" s="0" t="str">
        <f aca="false">IF(B19="","",MOD(ROW()^2*$C$7*7919+ROW()*104729+$C$7*31,10007)+ROW()/1000)</f>
        <v/>
      </c>
      <c r="I19" s="0" t="str">
        <f aca="false">IF(B19="","",RANK(H19,$H$12:$H$41))</f>
        <v/>
      </c>
      <c r="J19" s="0" t="str">
        <f aca="false">IF(B19="","",INDEX($B$12:$B$41,MATCH(IF(I19=COUNTA($B$12:$B$41),1,I19+1),$I$12:$I$41,0)))</f>
        <v/>
      </c>
    </row>
    <row r="20" customFormat="false" ht="15" hidden="false" customHeight="false" outlineLevel="0" collapsed="false">
      <c r="B20" s="25"/>
      <c r="C20" s="25"/>
      <c r="D20" s="25"/>
      <c r="H20" s="0" t="str">
        <f aca="false">IF(B20="","",MOD(ROW()^2*$C$7*7919+ROW()*104729+$C$7*31,10007)+ROW()/1000)</f>
        <v/>
      </c>
      <c r="I20" s="0" t="str">
        <f aca="false">IF(B20="","",RANK(H20,$H$12:$H$41))</f>
        <v/>
      </c>
      <c r="J20" s="0" t="str">
        <f aca="false">IF(B20="","",INDEX($B$12:$B$41,MATCH(IF(I20=COUNTA($B$12:$B$41),1,I20+1),$I$12:$I$41,0)))</f>
        <v/>
      </c>
    </row>
    <row r="21" customFormat="false" ht="15" hidden="false" customHeight="false" outlineLevel="0" collapsed="false">
      <c r="B21" s="25"/>
      <c r="C21" s="25"/>
      <c r="D21" s="25"/>
      <c r="H21" s="0" t="str">
        <f aca="false">IF(B21="","",MOD(ROW()^2*$C$7*7919+ROW()*104729+$C$7*31,10007)+ROW()/1000)</f>
        <v/>
      </c>
      <c r="I21" s="0" t="str">
        <f aca="false">IF(B21="","",RANK(H21,$H$12:$H$41))</f>
        <v/>
      </c>
      <c r="J21" s="0" t="str">
        <f aca="false">IF(B21="","",INDEX($B$12:$B$41,MATCH(IF(I21=COUNTA($B$12:$B$41),1,I21+1),$I$12:$I$41,0)))</f>
        <v/>
      </c>
    </row>
    <row r="22" customFormat="false" ht="15" hidden="false" customHeight="false" outlineLevel="0" collapsed="false">
      <c r="B22" s="25"/>
      <c r="C22" s="25"/>
      <c r="D22" s="25"/>
      <c r="H22" s="0" t="str">
        <f aca="false">IF(B22="","",MOD(ROW()^2*$C$7*7919+ROW()*104729+$C$7*31,10007)+ROW()/1000)</f>
        <v/>
      </c>
      <c r="I22" s="0" t="str">
        <f aca="false">IF(B22="","",RANK(H22,$H$12:$H$41))</f>
        <v/>
      </c>
      <c r="J22" s="0" t="str">
        <f aca="false">IF(B22="","",INDEX($B$12:$B$41,MATCH(IF(I22=COUNTA($B$12:$B$41),1,I22+1),$I$12:$I$41,0)))</f>
        <v/>
      </c>
    </row>
    <row r="23" customFormat="false" ht="15" hidden="false" customHeight="false" outlineLevel="0" collapsed="false">
      <c r="B23" s="25"/>
      <c r="C23" s="25"/>
      <c r="D23" s="25"/>
      <c r="H23" s="0" t="str">
        <f aca="false">IF(B23="","",MOD(ROW()^2*$C$7*7919+ROW()*104729+$C$7*31,10007)+ROW()/1000)</f>
        <v/>
      </c>
      <c r="I23" s="0" t="str">
        <f aca="false">IF(B23="","",RANK(H23,$H$12:$H$41))</f>
        <v/>
      </c>
      <c r="J23" s="0" t="str">
        <f aca="false">IF(B23="","",INDEX($B$12:$B$41,MATCH(IF(I23=COUNTA($B$12:$B$41),1,I23+1),$I$12:$I$41,0)))</f>
        <v/>
      </c>
    </row>
    <row r="24" customFormat="false" ht="15" hidden="false" customHeight="false" outlineLevel="0" collapsed="false">
      <c r="B24" s="25"/>
      <c r="C24" s="25"/>
      <c r="D24" s="25"/>
      <c r="H24" s="0" t="str">
        <f aca="false">IF(B24="","",MOD(ROW()^2*$C$7*7919+ROW()*104729+$C$7*31,10007)+ROW()/1000)</f>
        <v/>
      </c>
      <c r="I24" s="0" t="str">
        <f aca="false">IF(B24="","",RANK(H24,$H$12:$H$41))</f>
        <v/>
      </c>
      <c r="J24" s="0" t="str">
        <f aca="false">IF(B24="","",INDEX($B$12:$B$41,MATCH(IF(I24=COUNTA($B$12:$B$41),1,I24+1),$I$12:$I$41,0)))</f>
        <v/>
      </c>
    </row>
    <row r="25" customFormat="false" ht="15" hidden="false" customHeight="false" outlineLevel="0" collapsed="false">
      <c r="B25" s="25"/>
      <c r="C25" s="25"/>
      <c r="D25" s="25"/>
      <c r="H25" s="0" t="str">
        <f aca="false">IF(B25="","",MOD(ROW()^2*$C$7*7919+ROW()*104729+$C$7*31,10007)+ROW()/1000)</f>
        <v/>
      </c>
      <c r="I25" s="0" t="str">
        <f aca="false">IF(B25="","",RANK(H25,$H$12:$H$41))</f>
        <v/>
      </c>
      <c r="J25" s="0" t="str">
        <f aca="false">IF(B25="","",INDEX($B$12:$B$41,MATCH(IF(I25=COUNTA($B$12:$B$41),1,I25+1),$I$12:$I$41,0)))</f>
        <v/>
      </c>
    </row>
    <row r="26" customFormat="false" ht="15" hidden="false" customHeight="false" outlineLevel="0" collapsed="false">
      <c r="B26" s="25"/>
      <c r="C26" s="25"/>
      <c r="D26" s="25"/>
      <c r="H26" s="0" t="str">
        <f aca="false">IF(B26="","",MOD(ROW()^2*$C$7*7919+ROW()*104729+$C$7*31,10007)+ROW()/1000)</f>
        <v/>
      </c>
      <c r="I26" s="0" t="str">
        <f aca="false">IF(B26="","",RANK(H26,$H$12:$H$41))</f>
        <v/>
      </c>
      <c r="J26" s="0" t="str">
        <f aca="false">IF(B26="","",INDEX($B$12:$B$41,MATCH(IF(I26=COUNTA($B$12:$B$41),1,I26+1),$I$12:$I$41,0)))</f>
        <v/>
      </c>
    </row>
    <row r="27" customFormat="false" ht="15" hidden="false" customHeight="false" outlineLevel="0" collapsed="false">
      <c r="B27" s="25"/>
      <c r="C27" s="25"/>
      <c r="D27" s="25"/>
      <c r="H27" s="0" t="str">
        <f aca="false">IF(B27="","",MOD(ROW()^2*$C$7*7919+ROW()*104729+$C$7*31,10007)+ROW()/1000)</f>
        <v/>
      </c>
      <c r="I27" s="0" t="str">
        <f aca="false">IF(B27="","",RANK(H27,$H$12:$H$41))</f>
        <v/>
      </c>
      <c r="J27" s="0" t="str">
        <f aca="false">IF(B27="","",INDEX($B$12:$B$41,MATCH(IF(I27=COUNTA($B$12:$B$41),1,I27+1),$I$12:$I$41,0)))</f>
        <v/>
      </c>
    </row>
    <row r="28" customFormat="false" ht="15" hidden="false" customHeight="false" outlineLevel="0" collapsed="false">
      <c r="B28" s="25"/>
      <c r="C28" s="25"/>
      <c r="D28" s="25"/>
      <c r="H28" s="0" t="str">
        <f aca="false">IF(B28="","",MOD(ROW()^2*$C$7*7919+ROW()*104729+$C$7*31,10007)+ROW()/1000)</f>
        <v/>
      </c>
      <c r="I28" s="0" t="str">
        <f aca="false">IF(B28="","",RANK(H28,$H$12:$H$41))</f>
        <v/>
      </c>
      <c r="J28" s="0" t="str">
        <f aca="false">IF(B28="","",INDEX($B$12:$B$41,MATCH(IF(I28=COUNTA($B$12:$B$41),1,I28+1),$I$12:$I$41,0)))</f>
        <v/>
      </c>
    </row>
    <row r="29" customFormat="false" ht="15" hidden="false" customHeight="false" outlineLevel="0" collapsed="false">
      <c r="B29" s="25"/>
      <c r="C29" s="25"/>
      <c r="D29" s="25"/>
      <c r="H29" s="0" t="str">
        <f aca="false">IF(B29="","",MOD(ROW()^2*$C$7*7919+ROW()*104729+$C$7*31,10007)+ROW()/1000)</f>
        <v/>
      </c>
      <c r="I29" s="0" t="str">
        <f aca="false">IF(B29="","",RANK(H29,$H$12:$H$41))</f>
        <v/>
      </c>
      <c r="J29" s="0" t="str">
        <f aca="false">IF(B29="","",INDEX($B$12:$B$41,MATCH(IF(I29=COUNTA($B$12:$B$41),1,I29+1),$I$12:$I$41,0)))</f>
        <v/>
      </c>
    </row>
    <row r="30" customFormat="false" ht="15" hidden="false" customHeight="false" outlineLevel="0" collapsed="false">
      <c r="B30" s="25"/>
      <c r="C30" s="25"/>
      <c r="D30" s="25"/>
      <c r="H30" s="0" t="str">
        <f aca="false">IF(B30="","",MOD(ROW()^2*$C$7*7919+ROW()*104729+$C$7*31,10007)+ROW()/1000)</f>
        <v/>
      </c>
      <c r="I30" s="0" t="str">
        <f aca="false">IF(B30="","",RANK(H30,$H$12:$H$41))</f>
        <v/>
      </c>
      <c r="J30" s="0" t="str">
        <f aca="false">IF(B30="","",INDEX($B$12:$B$41,MATCH(IF(I30=COUNTA($B$12:$B$41),1,I30+1),$I$12:$I$41,0)))</f>
        <v/>
      </c>
    </row>
    <row r="31" customFormat="false" ht="15" hidden="false" customHeight="false" outlineLevel="0" collapsed="false">
      <c r="B31" s="25"/>
      <c r="C31" s="25"/>
      <c r="D31" s="25"/>
      <c r="H31" s="0" t="str">
        <f aca="false">IF(B31="","",MOD(ROW()^2*$C$7*7919+ROW()*104729+$C$7*31,10007)+ROW()/1000)</f>
        <v/>
      </c>
      <c r="I31" s="0" t="str">
        <f aca="false">IF(B31="","",RANK(H31,$H$12:$H$41))</f>
        <v/>
      </c>
      <c r="J31" s="0" t="str">
        <f aca="false">IF(B31="","",INDEX($B$12:$B$41,MATCH(IF(I31=COUNTA($B$12:$B$41),1,I31+1),$I$12:$I$41,0)))</f>
        <v/>
      </c>
    </row>
    <row r="32" customFormat="false" ht="15" hidden="false" customHeight="false" outlineLevel="0" collapsed="false">
      <c r="B32" s="25"/>
      <c r="C32" s="25"/>
      <c r="D32" s="25"/>
      <c r="H32" s="0" t="str">
        <f aca="false">IF(B32="","",MOD(ROW()^2*$C$7*7919+ROW()*104729+$C$7*31,10007)+ROW()/1000)</f>
        <v/>
      </c>
      <c r="I32" s="0" t="str">
        <f aca="false">IF(B32="","",RANK(H32,$H$12:$H$41))</f>
        <v/>
      </c>
      <c r="J32" s="0" t="str">
        <f aca="false">IF(B32="","",INDEX($B$12:$B$41,MATCH(IF(I32=COUNTA($B$12:$B$41),1,I32+1),$I$12:$I$41,0)))</f>
        <v/>
      </c>
    </row>
    <row r="33" customFormat="false" ht="15" hidden="false" customHeight="false" outlineLevel="0" collapsed="false">
      <c r="B33" s="25"/>
      <c r="C33" s="25"/>
      <c r="D33" s="25"/>
      <c r="H33" s="0" t="str">
        <f aca="false">IF(B33="","",MOD(ROW()^2*$C$7*7919+ROW()*104729+$C$7*31,10007)+ROW()/1000)</f>
        <v/>
      </c>
      <c r="I33" s="0" t="str">
        <f aca="false">IF(B33="","",RANK(H33,$H$12:$H$41))</f>
        <v/>
      </c>
      <c r="J33" s="0" t="str">
        <f aca="false">IF(B33="","",INDEX($B$12:$B$41,MATCH(IF(I33=COUNTA($B$12:$B$41),1,I33+1),$I$12:$I$41,0)))</f>
        <v/>
      </c>
    </row>
    <row r="34" customFormat="false" ht="15" hidden="false" customHeight="false" outlineLevel="0" collapsed="false">
      <c r="B34" s="25"/>
      <c r="C34" s="25"/>
      <c r="D34" s="25"/>
      <c r="H34" s="0" t="str">
        <f aca="false">IF(B34="","",MOD(ROW()^2*$C$7*7919+ROW()*104729+$C$7*31,10007)+ROW()/1000)</f>
        <v/>
      </c>
      <c r="I34" s="0" t="str">
        <f aca="false">IF(B34="","",RANK(H34,$H$12:$H$41))</f>
        <v/>
      </c>
      <c r="J34" s="0" t="str">
        <f aca="false">IF(B34="","",INDEX($B$12:$B$41,MATCH(IF(I34=COUNTA($B$12:$B$41),1,I34+1),$I$12:$I$41,0)))</f>
        <v/>
      </c>
    </row>
    <row r="35" customFormat="false" ht="15" hidden="false" customHeight="false" outlineLevel="0" collapsed="false">
      <c r="B35" s="25"/>
      <c r="C35" s="25"/>
      <c r="D35" s="25"/>
      <c r="H35" s="0" t="str">
        <f aca="false">IF(B35="","",MOD(ROW()^2*$C$7*7919+ROW()*104729+$C$7*31,10007)+ROW()/1000)</f>
        <v/>
      </c>
      <c r="I35" s="0" t="str">
        <f aca="false">IF(B35="","",RANK(H35,$H$12:$H$41))</f>
        <v/>
      </c>
      <c r="J35" s="0" t="str">
        <f aca="false">IF(B35="","",INDEX($B$12:$B$41,MATCH(IF(I35=COUNTA($B$12:$B$41),1,I35+1),$I$12:$I$41,0)))</f>
        <v/>
      </c>
    </row>
    <row r="36" customFormat="false" ht="15" hidden="false" customHeight="false" outlineLevel="0" collapsed="false">
      <c r="B36" s="25"/>
      <c r="C36" s="25"/>
      <c r="D36" s="25"/>
      <c r="H36" s="0" t="str">
        <f aca="false">IF(B36="","",MOD(ROW()^2*$C$7*7919+ROW()*104729+$C$7*31,10007)+ROW()/1000)</f>
        <v/>
      </c>
      <c r="I36" s="0" t="str">
        <f aca="false">IF(B36="","",RANK(H36,$H$12:$H$41))</f>
        <v/>
      </c>
      <c r="J36" s="0" t="str">
        <f aca="false">IF(B36="","",INDEX($B$12:$B$41,MATCH(IF(I36=COUNTA($B$12:$B$41),1,I36+1),$I$12:$I$41,0)))</f>
        <v/>
      </c>
    </row>
    <row r="37" customFormat="false" ht="15" hidden="false" customHeight="false" outlineLevel="0" collapsed="false">
      <c r="B37" s="25"/>
      <c r="C37" s="25"/>
      <c r="D37" s="25"/>
      <c r="H37" s="0" t="str">
        <f aca="false">IF(B37="","",MOD(ROW()^2*$C$7*7919+ROW()*104729+$C$7*31,10007)+ROW()/1000)</f>
        <v/>
      </c>
      <c r="I37" s="0" t="str">
        <f aca="false">IF(B37="","",RANK(H37,$H$12:$H$41))</f>
        <v/>
      </c>
      <c r="J37" s="0" t="str">
        <f aca="false">IF(B37="","",INDEX($B$12:$B$41,MATCH(IF(I37=COUNTA($B$12:$B$41),1,I37+1),$I$12:$I$41,0)))</f>
        <v/>
      </c>
    </row>
    <row r="38" customFormat="false" ht="15" hidden="false" customHeight="false" outlineLevel="0" collapsed="false">
      <c r="B38" s="25"/>
      <c r="C38" s="25"/>
      <c r="D38" s="25"/>
      <c r="H38" s="0" t="str">
        <f aca="false">IF(B38="","",MOD(ROW()^2*$C$7*7919+ROW()*104729+$C$7*31,10007)+ROW()/1000)</f>
        <v/>
      </c>
      <c r="I38" s="0" t="str">
        <f aca="false">IF(B38="","",RANK(H38,$H$12:$H$41))</f>
        <v/>
      </c>
      <c r="J38" s="0" t="str">
        <f aca="false">IF(B38="","",INDEX($B$12:$B$41,MATCH(IF(I38=COUNTA($B$12:$B$41),1,I38+1),$I$12:$I$41,0)))</f>
        <v/>
      </c>
    </row>
    <row r="39" customFormat="false" ht="15" hidden="false" customHeight="false" outlineLevel="0" collapsed="false">
      <c r="B39" s="25"/>
      <c r="C39" s="25"/>
      <c r="D39" s="25"/>
      <c r="H39" s="0" t="str">
        <f aca="false">IF(B39="","",MOD(ROW()^2*$C$7*7919+ROW()*104729+$C$7*31,10007)+ROW()/1000)</f>
        <v/>
      </c>
      <c r="I39" s="0" t="str">
        <f aca="false">IF(B39="","",RANK(H39,$H$12:$H$41))</f>
        <v/>
      </c>
      <c r="J39" s="0" t="str">
        <f aca="false">IF(B39="","",INDEX($B$12:$B$41,MATCH(IF(I39=COUNTA($B$12:$B$41),1,I39+1),$I$12:$I$41,0)))</f>
        <v/>
      </c>
    </row>
    <row r="40" customFormat="false" ht="15" hidden="false" customHeight="false" outlineLevel="0" collapsed="false">
      <c r="B40" s="25"/>
      <c r="C40" s="25"/>
      <c r="D40" s="25"/>
      <c r="H40" s="0" t="str">
        <f aca="false">IF(B40="","",MOD(ROW()^2*$C$7*7919+ROW()*104729+$C$7*31,10007)+ROW()/1000)</f>
        <v/>
      </c>
      <c r="I40" s="0" t="str">
        <f aca="false">IF(B40="","",RANK(H40,$H$12:$H$41))</f>
        <v/>
      </c>
      <c r="J40" s="0" t="str">
        <f aca="false">IF(B40="","",INDEX($B$12:$B$41,MATCH(IF(I40=COUNTA($B$12:$B$41),1,I40+1),$I$12:$I$41,0)))</f>
        <v/>
      </c>
    </row>
    <row r="41" customFormat="false" ht="15" hidden="false" customHeight="false" outlineLevel="0" collapsed="false">
      <c r="B41" s="25"/>
      <c r="C41" s="25"/>
      <c r="D41" s="25"/>
      <c r="H41" s="0" t="str">
        <f aca="false">IF(B41="","",MOD(ROW()^2*$C$7*7919+ROW()*104729+$C$7*31,10007)+ROW()/1000)</f>
        <v/>
      </c>
      <c r="I41" s="0" t="str">
        <f aca="false">IF(B41="","",RANK(H41,$H$12:$H$41))</f>
        <v/>
      </c>
      <c r="J41" s="0" t="str">
        <f aca="false">IF(B41="","",INDEX($B$12:$B$41,MATCH(IF(I41=COUNTA($B$12:$B$41),1,I41+1),$I$12:$I$41,0)))</f>
        <v/>
      </c>
    </row>
    <row r="43" customFormat="false" ht="15" hidden="false" customHeight="false" outlineLevel="0" collapsed="false">
      <c r="B43" s="11" t="s">
        <v>221</v>
      </c>
    </row>
    <row r="44" customFormat="false" ht="15" hidden="false" customHeight="false" outlineLevel="0" collapsed="false">
      <c r="B44" s="11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  <c r="H1" s="2"/>
      <c r="I1" s="3"/>
    </row>
    <row r="2" customFormat="false" ht="31.5" hidden="false" customHeight="true" outlineLevel="0" collapsed="false">
      <c r="A2" s="4"/>
      <c r="B2" s="5" t="s">
        <v>223</v>
      </c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4"/>
      <c r="B3" s="6" t="s">
        <v>224</v>
      </c>
      <c r="C3" s="4"/>
      <c r="D3" s="4"/>
      <c r="E3" s="4"/>
      <c r="F3" s="4"/>
      <c r="G3" s="4"/>
      <c r="H3" s="4"/>
      <c r="I3" s="4"/>
    </row>
    <row r="5" customFormat="false" ht="21.75" hidden="false" customHeight="true" outlineLevel="0" collapsed="false">
      <c r="B5" s="18" t="s">
        <v>99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52</v>
      </c>
    </row>
    <row r="6" customFormat="false" ht="15" hidden="false" customHeight="false" outlineLevel="0" collapsed="false">
      <c r="B6" s="37" t="n">
        <v>46379</v>
      </c>
      <c r="C6" s="25" t="s">
        <v>230</v>
      </c>
      <c r="D6" s="25" t="s">
        <v>231</v>
      </c>
      <c r="E6" s="31" t="n">
        <v>0.385416666666667</v>
      </c>
      <c r="F6" s="25" t="s">
        <v>232</v>
      </c>
      <c r="G6" s="26" t="n">
        <v>42.6</v>
      </c>
      <c r="H6" s="25"/>
    </row>
    <row r="7" customFormat="false" ht="15" hidden="false" customHeight="false" outlineLevel="0" collapsed="false">
      <c r="B7" s="37" t="n">
        <v>46383</v>
      </c>
      <c r="C7" s="25" t="s">
        <v>233</v>
      </c>
      <c r="D7" s="25" t="s">
        <v>231</v>
      </c>
      <c r="E7" s="31" t="n">
        <v>0.694444444444444</v>
      </c>
      <c r="F7" s="25" t="s">
        <v>234</v>
      </c>
      <c r="G7" s="26" t="n">
        <v>38.9</v>
      </c>
      <c r="H7" s="25"/>
    </row>
    <row r="8" customFormat="false" ht="15" hidden="false" customHeight="false" outlineLevel="0" collapsed="false">
      <c r="B8" s="37"/>
      <c r="C8" s="25"/>
      <c r="D8" s="25"/>
      <c r="E8" s="31"/>
      <c r="F8" s="25"/>
      <c r="G8" s="26"/>
      <c r="H8" s="25"/>
    </row>
    <row r="9" customFormat="false" ht="15" hidden="false" customHeight="false" outlineLevel="0" collapsed="false">
      <c r="B9" s="37"/>
      <c r="C9" s="25"/>
      <c r="D9" s="25"/>
      <c r="E9" s="31"/>
      <c r="F9" s="25"/>
      <c r="G9" s="26"/>
      <c r="H9" s="25"/>
    </row>
    <row r="10" customFormat="false" ht="15" hidden="false" customHeight="false" outlineLevel="0" collapsed="false">
      <c r="B10" s="37"/>
      <c r="C10" s="25"/>
      <c r="D10" s="25"/>
      <c r="E10" s="31"/>
      <c r="F10" s="25"/>
      <c r="G10" s="26"/>
      <c r="H10" s="25"/>
    </row>
    <row r="11" customFormat="false" ht="15" hidden="false" customHeight="false" outlineLevel="0" collapsed="false">
      <c r="B11" s="37"/>
      <c r="C11" s="25"/>
      <c r="D11" s="25"/>
      <c r="E11" s="31"/>
      <c r="F11" s="25"/>
      <c r="G11" s="26"/>
      <c r="H11" s="25"/>
    </row>
    <row r="12" customFormat="false" ht="15" hidden="false" customHeight="false" outlineLevel="0" collapsed="false">
      <c r="B12" s="37"/>
      <c r="C12" s="25"/>
      <c r="D12" s="25"/>
      <c r="E12" s="31"/>
      <c r="F12" s="25"/>
      <c r="G12" s="26"/>
      <c r="H12" s="25"/>
    </row>
    <row r="13" customFormat="false" ht="15" hidden="false" customHeight="false" outlineLevel="0" collapsed="false">
      <c r="B13" s="37"/>
      <c r="C13" s="25"/>
      <c r="D13" s="25"/>
      <c r="E13" s="31"/>
      <c r="F13" s="25"/>
      <c r="G13" s="26"/>
      <c r="H13" s="25"/>
    </row>
    <row r="14" customFormat="false" ht="15" hidden="false" customHeight="false" outlineLevel="0" collapsed="false">
      <c r="B14" s="37"/>
      <c r="C14" s="25"/>
      <c r="D14" s="25"/>
      <c r="E14" s="31"/>
      <c r="F14" s="25"/>
      <c r="G14" s="26"/>
      <c r="H14" s="25"/>
    </row>
    <row r="15" customFormat="false" ht="15" hidden="false" customHeight="false" outlineLevel="0" collapsed="false">
      <c r="B15" s="37"/>
      <c r="C15" s="25"/>
      <c r="D15" s="25"/>
      <c r="E15" s="31"/>
      <c r="F15" s="25"/>
      <c r="G15" s="26"/>
      <c r="H15" s="25"/>
    </row>
    <row r="16" customFormat="false" ht="15" hidden="false" customHeight="false" outlineLevel="0" collapsed="false">
      <c r="F16" s="12" t="s">
        <v>75</v>
      </c>
      <c r="G16" s="24" t="n">
        <f aca="false">SUM(G6:G15)</f>
        <v>81.5</v>
      </c>
    </row>
    <row r="18" customFormat="false" ht="21.75" hidden="false" customHeight="true" outlineLevel="0" collapsed="false">
      <c r="B18" s="22" t="s">
        <v>235</v>
      </c>
      <c r="C18" s="22" t="s">
        <v>236</v>
      </c>
    </row>
    <row r="19" customFormat="false" ht="15" hidden="false" customHeight="false" outlineLevel="0" collapsed="false">
      <c r="B19" s="25" t="s">
        <v>237</v>
      </c>
      <c r="C19" s="13" t="s">
        <v>115</v>
      </c>
    </row>
    <row r="20" customFormat="false" ht="15" hidden="false" customHeight="false" outlineLevel="0" collapsed="false">
      <c r="B20" s="25" t="s">
        <v>103</v>
      </c>
      <c r="C20" s="13" t="s">
        <v>115</v>
      </c>
    </row>
    <row r="21" customFormat="false" ht="15" hidden="false" customHeight="false" outlineLevel="0" collapsed="false">
      <c r="B21" s="25" t="s">
        <v>238</v>
      </c>
      <c r="C21" s="13"/>
    </row>
    <row r="22" customFormat="false" ht="15" hidden="false" customHeight="false" outlineLevel="0" collapsed="false">
      <c r="B22" s="25" t="s">
        <v>239</v>
      </c>
      <c r="C22" s="13"/>
    </row>
    <row r="23" customFormat="false" ht="15" hidden="false" customHeight="false" outlineLevel="0" collapsed="false">
      <c r="B23" s="25" t="s">
        <v>240</v>
      </c>
      <c r="C23" s="13"/>
    </row>
    <row r="24" customFormat="false" ht="15" hidden="false" customHeight="false" outlineLevel="0" collapsed="false">
      <c r="B24" s="25" t="s">
        <v>241</v>
      </c>
      <c r="C24" s="13"/>
    </row>
    <row r="25" customFormat="false" ht="15" hidden="false" customHeight="false" outlineLevel="0" collapsed="false">
      <c r="B25" s="25" t="s">
        <v>242</v>
      </c>
      <c r="C25" s="13"/>
    </row>
    <row r="26" customFormat="false" ht="15" hidden="false" customHeight="false" outlineLevel="0" collapsed="false">
      <c r="B26" s="25" t="s">
        <v>243</v>
      </c>
      <c r="C26" s="13"/>
    </row>
    <row r="27" customFormat="false" ht="15" hidden="false" customHeight="false" outlineLevel="0" collapsed="false">
      <c r="B27" s="25" t="s">
        <v>244</v>
      </c>
      <c r="C27" s="13"/>
    </row>
    <row r="28" customFormat="false" ht="15" hidden="false" customHeight="false" outlineLevel="0" collapsed="false">
      <c r="B28" s="25" t="s">
        <v>245</v>
      </c>
      <c r="C28" s="13"/>
    </row>
    <row r="29" customFormat="false" ht="15" hidden="false" customHeight="false" outlineLevel="0" collapsed="false">
      <c r="B29" s="25"/>
      <c r="C29" s="13"/>
    </row>
    <row r="30" customFormat="false" ht="15" hidden="false" customHeight="false" outlineLevel="0" collapsed="false">
      <c r="B30" s="25"/>
      <c r="C30" s="13"/>
    </row>
    <row r="31" customFormat="false" ht="15" hidden="false" customHeight="false" outlineLevel="0" collapsed="false">
      <c r="B31" s="25"/>
      <c r="C31" s="13"/>
    </row>
    <row r="32" customFormat="false" ht="15" hidden="false" customHeight="false" outlineLevel="0" collapsed="false">
      <c r="B32" s="25"/>
      <c r="C32" s="13"/>
    </row>
    <row r="33" customFormat="false" ht="15" hidden="false" customHeight="false" outlineLevel="0" collapsed="false">
      <c r="B33" s="25"/>
      <c r="C33" s="13"/>
    </row>
    <row r="34" customFormat="false" ht="15" hidden="false" customHeight="false" outlineLevel="0" collapsed="false">
      <c r="B34" s="25"/>
      <c r="C34" s="13"/>
    </row>
    <row r="35" customFormat="false" ht="15" hidden="false" customHeight="false" outlineLevel="0" collapsed="false">
      <c r="B35" s="25"/>
      <c r="C35" s="13"/>
    </row>
    <row r="36" customFormat="false" ht="15" hidden="false" customHeight="false" outlineLevel="0" collapsed="false">
      <c r="B36" s="25"/>
      <c r="C36" s="13"/>
    </row>
    <row r="37" customFormat="false" ht="15" hidden="false" customHeight="false" outlineLevel="0" collapsed="false">
      <c r="B37" s="25"/>
      <c r="C37" s="13"/>
    </row>
    <row r="38" customFormat="false" ht="15" hidden="false" customHeight="false" outlineLevel="0" collapsed="false">
      <c r="B38" s="25"/>
      <c r="C38" s="13"/>
    </row>
    <row r="39" customFormat="false" ht="15" hidden="false" customHeight="false" outlineLevel="0" collapsed="false">
      <c r="B39" s="25"/>
      <c r="C39" s="13"/>
    </row>
    <row r="40" customFormat="false" ht="15" hidden="false" customHeight="false" outlineLevel="0" collapsed="false">
      <c r="B40" s="25"/>
      <c r="C40" s="13"/>
    </row>
    <row r="41" customFormat="false" ht="15" hidden="false" customHeight="false" outlineLevel="0" collapsed="false">
      <c r="B41" s="25"/>
      <c r="C41" s="13"/>
    </row>
    <row r="42" customFormat="false" ht="15" hidden="false" customHeight="false" outlineLevel="0" collapsed="false">
      <c r="B42" s="25"/>
      <c r="C42" s="13"/>
    </row>
    <row r="43" customFormat="false" ht="15" hidden="false" customHeight="false" outlineLevel="0" collapsed="false">
      <c r="B43" s="25"/>
      <c r="C43" s="13"/>
    </row>
    <row r="44" customFormat="false" ht="15" hidden="false" customHeight="false" outlineLevel="0" collapsed="false">
      <c r="B44" s="25"/>
      <c r="C44" s="13"/>
    </row>
    <row r="45" customFormat="false" ht="15" hidden="false" customHeight="false" outlineLevel="0" collapsed="false">
      <c r="B45" s="25"/>
      <c r="C45" s="13"/>
    </row>
    <row r="46" customFormat="false" ht="15" hidden="false" customHeight="false" outlineLevel="0" collapsed="false">
      <c r="B46" s="25"/>
      <c r="C46" s="13"/>
    </row>
    <row r="47" customFormat="false" ht="15" hidden="false" customHeight="false" outlineLevel="0" collapsed="false">
      <c r="B47" s="25"/>
      <c r="C47" s="13"/>
    </row>
    <row r="48" customFormat="false" ht="15" hidden="false" customHeight="false" outlineLevel="0" collapsed="false">
      <c r="B48" s="25"/>
      <c r="C48" s="13"/>
    </row>
  </sheetData>
  <conditionalFormatting sqref="B19:C48">
    <cfRule type="expression" priority="2" aboveAverage="0" equalAverage="0" bottom="0" percent="0" rank="0" text="" dxfId="6">
      <formula>$C19="✓"</formula>
    </cfRule>
  </conditionalFormatting>
  <dataValidations count="2">
    <dataValidation allowBlank="true" errorStyle="stop" operator="between" showDropDown="false" showErrorMessage="false" showInputMessage="false" sqref="C19:C48" type="list">
      <formula1>"✓"</formula1>
      <formula2>0</formula2>
    </dataValidation>
    <dataValidation allowBlank="true" errorStyle="stop" operator="between" showDropDown="false" showErrorMessage="false" showInputMessage="false" sqref="D6:D15" type="list">
      <formula1>"Train,Car,Coach,Plane,Ferry,Taxi,Other"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false"/>
  </sheetPr>
  <dimension ref="A1:G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6" hidden="false" customHeight="true" outlineLevel="0" collapsed="false">
      <c r="A1" s="1"/>
      <c r="B1" s="2"/>
      <c r="C1" s="3"/>
      <c r="D1" s="1"/>
      <c r="E1" s="2"/>
      <c r="F1" s="3"/>
      <c r="G1" s="1"/>
    </row>
    <row r="2" customFormat="false" ht="31.5" hidden="false" customHeight="true" outlineLevel="0" collapsed="false">
      <c r="A2" s="4"/>
      <c r="B2" s="5" t="s">
        <v>246</v>
      </c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6" t="s">
        <v>247</v>
      </c>
      <c r="C3" s="4"/>
      <c r="D3" s="4"/>
      <c r="E3" s="4"/>
      <c r="F3" s="4"/>
      <c r="G3" s="4"/>
    </row>
    <row r="5" customFormat="false" ht="21.75" hidden="false" customHeight="true" outlineLevel="0" collapsed="false">
      <c r="B5" s="17" t="s">
        <v>248</v>
      </c>
      <c r="C5" s="17" t="s">
        <v>249</v>
      </c>
      <c r="D5" s="17" t="s">
        <v>250</v>
      </c>
      <c r="E5" s="17" t="s">
        <v>186</v>
      </c>
      <c r="F5" s="17" t="s">
        <v>251</v>
      </c>
    </row>
    <row r="6" customFormat="false" ht="15" hidden="false" customHeight="false" outlineLevel="0" collapsed="false">
      <c r="B6" s="25" t="s">
        <v>252</v>
      </c>
      <c r="C6" s="25" t="s">
        <v>253</v>
      </c>
      <c r="D6" s="37" t="n">
        <f aca="false">DATE(Dashboard!$C$6,11,1)</f>
        <v>46327</v>
      </c>
      <c r="E6" s="13"/>
      <c r="F6" s="38" t="n">
        <f aca="true">IF(OR(D6="",E6="✓"),"",D6-TODAY())</f>
        <v>3</v>
      </c>
    </row>
    <row r="7" customFormat="false" ht="15" hidden="false" customHeight="false" outlineLevel="0" collapsed="false">
      <c r="B7" s="25" t="s">
        <v>254</v>
      </c>
      <c r="C7" s="25" t="s">
        <v>253</v>
      </c>
      <c r="D7" s="37" t="n">
        <f aca="false">DATE(Dashboard!$C$6,11,3)</f>
        <v>46329</v>
      </c>
      <c r="E7" s="13"/>
      <c r="F7" s="38" t="n">
        <f aca="true">IF(OR(D7="",E7="✓"),"",D7-TODAY())</f>
        <v>5</v>
      </c>
    </row>
    <row r="8" customFormat="false" ht="15" hidden="false" customHeight="false" outlineLevel="0" collapsed="false">
      <c r="B8" s="25" t="s">
        <v>255</v>
      </c>
      <c r="C8" s="25" t="s">
        <v>253</v>
      </c>
      <c r="D8" s="37" t="n">
        <f aca="false">DATE(Dashboard!$C$6,11,7)</f>
        <v>46333</v>
      </c>
      <c r="E8" s="13"/>
      <c r="F8" s="38" t="n">
        <f aca="true">IF(OR(D8="",E8="✓"),"",D8-TODAY())</f>
        <v>9</v>
      </c>
    </row>
    <row r="9" customFormat="false" ht="15" hidden="false" customHeight="false" outlineLevel="0" collapsed="false">
      <c r="B9" s="25" t="s">
        <v>256</v>
      </c>
      <c r="C9" s="25" t="s">
        <v>257</v>
      </c>
      <c r="D9" s="37" t="n">
        <f aca="false">DATE(Dashboard!$C$6,11,15)</f>
        <v>46341</v>
      </c>
      <c r="E9" s="13"/>
      <c r="F9" s="38" t="n">
        <f aca="true">IF(OR(D9="",E9="✓"),"",D9-TODAY())</f>
        <v>17</v>
      </c>
    </row>
    <row r="10" customFormat="false" ht="15" hidden="false" customHeight="false" outlineLevel="0" collapsed="false">
      <c r="B10" s="25" t="s">
        <v>258</v>
      </c>
      <c r="C10" s="25" t="s">
        <v>259</v>
      </c>
      <c r="D10" s="37" t="n">
        <f aca="false">DATE(Dashboard!$C$6,11,27)</f>
        <v>46353</v>
      </c>
      <c r="E10" s="13"/>
      <c r="F10" s="38" t="n">
        <f aca="true">IF(OR(D10="",E10="✓"),"",D10-TODAY())</f>
        <v>29</v>
      </c>
    </row>
    <row r="11" customFormat="false" ht="15" hidden="false" customHeight="false" outlineLevel="0" collapsed="false">
      <c r="B11" s="25" t="s">
        <v>260</v>
      </c>
      <c r="C11" s="25" t="s">
        <v>259</v>
      </c>
      <c r="D11" s="37" t="n">
        <f aca="false">DATE(Dashboard!$C$6,11,28)</f>
        <v>46354</v>
      </c>
      <c r="E11" s="13"/>
      <c r="F11" s="38" t="n">
        <f aca="true">IF(OR(D11="",E11="✓"),"",D11-TODAY())</f>
        <v>30</v>
      </c>
    </row>
    <row r="12" customFormat="false" ht="15" hidden="false" customHeight="false" outlineLevel="0" collapsed="false">
      <c r="B12" s="25" t="s">
        <v>261</v>
      </c>
      <c r="C12" s="25" t="s">
        <v>262</v>
      </c>
      <c r="D12" s="37" t="n">
        <f aca="false">DATE(Dashboard!$C$6,12,1)</f>
        <v>46357</v>
      </c>
      <c r="E12" s="13"/>
      <c r="F12" s="38" t="n">
        <f aca="true">IF(OR(D12="",E12="✓"),"",D12-TODAY())</f>
        <v>33</v>
      </c>
    </row>
    <row r="13" customFormat="false" ht="15" hidden="false" customHeight="false" outlineLevel="0" collapsed="false">
      <c r="B13" s="25" t="s">
        <v>263</v>
      </c>
      <c r="C13" s="25" t="s">
        <v>262</v>
      </c>
      <c r="D13" s="37" t="n">
        <f aca="false">DATE(Dashboard!$C$6,12,3)</f>
        <v>46359</v>
      </c>
      <c r="E13" s="13"/>
      <c r="F13" s="38" t="n">
        <f aca="true">IF(OR(D13="",E13="✓"),"",D13-TODAY())</f>
        <v>35</v>
      </c>
    </row>
    <row r="14" customFormat="false" ht="15" hidden="false" customHeight="false" outlineLevel="0" collapsed="false">
      <c r="B14" s="25" t="s">
        <v>264</v>
      </c>
      <c r="C14" s="25" t="s">
        <v>262</v>
      </c>
      <c r="D14" s="37" t="n">
        <f aca="false">DATE(Dashboard!$C$6,12,5)</f>
        <v>46361</v>
      </c>
      <c r="E14" s="13"/>
      <c r="F14" s="38" t="n">
        <f aca="true">IF(OR(D14="",E14="✓"),"",D14-TODAY())</f>
        <v>37</v>
      </c>
    </row>
    <row r="15" customFormat="false" ht="15" hidden="false" customHeight="false" outlineLevel="0" collapsed="false">
      <c r="B15" s="25" t="s">
        <v>265</v>
      </c>
      <c r="C15" s="25" t="s">
        <v>262</v>
      </c>
      <c r="D15" s="37" t="n">
        <f aca="false">DATE(Dashboard!$C$6,12,10)</f>
        <v>46366</v>
      </c>
      <c r="E15" s="13"/>
      <c r="F15" s="38" t="n">
        <f aca="true">IF(OR(D15="",E15="✓"),"",D15-TODAY())</f>
        <v>42</v>
      </c>
    </row>
    <row r="16" customFormat="false" ht="15" hidden="false" customHeight="false" outlineLevel="0" collapsed="false">
      <c r="B16" s="25" t="s">
        <v>266</v>
      </c>
      <c r="C16" s="25" t="s">
        <v>267</v>
      </c>
      <c r="D16" s="37" t="n">
        <f aca="false">DATE(Dashboard!$C$6,12,12)</f>
        <v>46368</v>
      </c>
      <c r="E16" s="13"/>
      <c r="F16" s="38" t="n">
        <f aca="true">IF(OR(D16="",E16="✓"),"",D16-TODAY())</f>
        <v>44</v>
      </c>
    </row>
    <row r="17" customFormat="false" ht="15" hidden="false" customHeight="false" outlineLevel="0" collapsed="false">
      <c r="B17" s="25" t="s">
        <v>268</v>
      </c>
      <c r="C17" s="25" t="s">
        <v>267</v>
      </c>
      <c r="D17" s="37" t="n">
        <f aca="false">DATE(Dashboard!$C$6,12,15)</f>
        <v>46371</v>
      </c>
      <c r="E17" s="13"/>
      <c r="F17" s="38" t="n">
        <f aca="true">IF(OR(D17="",E17="✓"),"",D17-TODAY())</f>
        <v>47</v>
      </c>
    </row>
    <row r="18" customFormat="false" ht="15" hidden="false" customHeight="false" outlineLevel="0" collapsed="false">
      <c r="B18" s="25" t="s">
        <v>269</v>
      </c>
      <c r="C18" s="25" t="s">
        <v>267</v>
      </c>
      <c r="D18" s="37" t="n">
        <f aca="false">DATE(Dashboard!$C$6,12,18)</f>
        <v>46374</v>
      </c>
      <c r="E18" s="13"/>
      <c r="F18" s="38" t="n">
        <f aca="true">IF(OR(D18="",E18="✓"),"",D18-TODAY())</f>
        <v>50</v>
      </c>
    </row>
    <row r="19" customFormat="false" ht="15" hidden="false" customHeight="false" outlineLevel="0" collapsed="false">
      <c r="B19" s="25" t="s">
        <v>270</v>
      </c>
      <c r="C19" s="25" t="s">
        <v>267</v>
      </c>
      <c r="D19" s="37" t="n">
        <f aca="false">DATE(Dashboard!$C$6,12,20)</f>
        <v>46376</v>
      </c>
      <c r="E19" s="13"/>
      <c r="F19" s="38" t="n">
        <f aca="true">IF(OR(D19="",E19="✓"),"",D19-TODAY())</f>
        <v>52</v>
      </c>
    </row>
    <row r="20" customFormat="false" ht="15" hidden="false" customHeight="false" outlineLevel="0" collapsed="false">
      <c r="B20" s="25" t="s">
        <v>271</v>
      </c>
      <c r="C20" s="25" t="s">
        <v>272</v>
      </c>
      <c r="D20" s="37" t="n">
        <f aca="false">DATE(Dashboard!$C$6,12,22)</f>
        <v>46378</v>
      </c>
      <c r="E20" s="13"/>
      <c r="F20" s="38" t="n">
        <f aca="true">IF(OR(D20="",E20="✓"),"",D20-TODAY())</f>
        <v>54</v>
      </c>
    </row>
    <row r="21" customFormat="false" ht="15" hidden="false" customHeight="false" outlineLevel="0" collapsed="false">
      <c r="B21" s="25" t="s">
        <v>273</v>
      </c>
      <c r="C21" s="25" t="s">
        <v>272</v>
      </c>
      <c r="D21" s="37" t="n">
        <f aca="false">DATE(Dashboard!$C$6,12,22)</f>
        <v>46378</v>
      </c>
      <c r="E21" s="13"/>
      <c r="F21" s="38" t="n">
        <f aca="true">IF(OR(D21="",E21="✓"),"",D21-TODAY())</f>
        <v>54</v>
      </c>
    </row>
    <row r="22" customFormat="false" ht="15" hidden="false" customHeight="false" outlineLevel="0" collapsed="false">
      <c r="B22" s="25" t="s">
        <v>274</v>
      </c>
      <c r="C22" s="25" t="s">
        <v>275</v>
      </c>
      <c r="D22" s="37" t="n">
        <f aca="false">DATE(Dashboard!$C$6,12,24)</f>
        <v>46380</v>
      </c>
      <c r="E22" s="13"/>
      <c r="F22" s="38" t="n">
        <f aca="true">IF(OR(D22="",E22="✓"),"",D22-TODAY())</f>
        <v>56</v>
      </c>
    </row>
    <row r="23" customFormat="false" ht="15" hidden="false" customHeight="false" outlineLevel="0" collapsed="false">
      <c r="B23" s="25" t="s">
        <v>276</v>
      </c>
      <c r="C23" s="25" t="s">
        <v>275</v>
      </c>
      <c r="D23" s="37" t="n">
        <f aca="false">DATE(Dashboard!$C$6,12,24)</f>
        <v>46380</v>
      </c>
      <c r="E23" s="13"/>
      <c r="F23" s="38" t="n">
        <f aca="true">IF(OR(D23="",E23="✓"),"",D23-TODAY())</f>
        <v>56</v>
      </c>
    </row>
    <row r="24" customFormat="false" ht="15" hidden="false" customHeight="false" outlineLevel="0" collapsed="false">
      <c r="B24" s="25" t="s">
        <v>277</v>
      </c>
      <c r="C24" s="25" t="s">
        <v>278</v>
      </c>
      <c r="D24" s="37" t="n">
        <f aca="false">DATE(Dashboard!$C$6,12,25)</f>
        <v>46381</v>
      </c>
      <c r="E24" s="13"/>
      <c r="F24" s="38" t="n">
        <f aca="true">IF(OR(D24="",E24="✓"),"",D24-TODAY())</f>
        <v>57</v>
      </c>
    </row>
    <row r="25" customFormat="false" ht="15" hidden="false" customHeight="false" outlineLevel="0" collapsed="false">
      <c r="B25" s="25"/>
      <c r="C25" s="25"/>
      <c r="D25" s="37"/>
      <c r="E25" s="13"/>
      <c r="F25" s="38" t="str">
        <f aca="true">IF(OR(D25="",E25="✓"),"",D25-TODAY())</f>
        <v/>
      </c>
    </row>
    <row r="26" customFormat="false" ht="15" hidden="false" customHeight="false" outlineLevel="0" collapsed="false">
      <c r="B26" s="25"/>
      <c r="C26" s="25"/>
      <c r="D26" s="37"/>
      <c r="E26" s="13"/>
      <c r="F26" s="38" t="str">
        <f aca="true">IF(OR(D26="",E26="✓"),"",D26-TODAY())</f>
        <v/>
      </c>
    </row>
    <row r="27" customFormat="false" ht="15" hidden="false" customHeight="false" outlineLevel="0" collapsed="false">
      <c r="B27" s="25"/>
      <c r="C27" s="25"/>
      <c r="D27" s="37"/>
      <c r="E27" s="13"/>
      <c r="F27" s="38" t="str">
        <f aca="true">IF(OR(D27="",E27="✓"),"",D27-TODAY())</f>
        <v/>
      </c>
    </row>
    <row r="28" customFormat="false" ht="15" hidden="false" customHeight="false" outlineLevel="0" collapsed="false">
      <c r="B28" s="25"/>
      <c r="C28" s="25"/>
      <c r="D28" s="37"/>
      <c r="E28" s="13"/>
      <c r="F28" s="38" t="str">
        <f aca="true">IF(OR(D28="",E28="✓"),"",D28-TODAY())</f>
        <v/>
      </c>
    </row>
    <row r="29" customFormat="false" ht="15" hidden="false" customHeight="false" outlineLevel="0" collapsed="false">
      <c r="B29" s="25"/>
      <c r="C29" s="25"/>
      <c r="D29" s="37"/>
      <c r="E29" s="13"/>
      <c r="F29" s="38" t="str">
        <f aca="true">IF(OR(D29="",E29="✓"),"",D29-TODAY())</f>
        <v/>
      </c>
    </row>
    <row r="30" customFormat="false" ht="15" hidden="false" customHeight="false" outlineLevel="0" collapsed="false">
      <c r="B30" s="25"/>
      <c r="C30" s="25"/>
      <c r="D30" s="37"/>
      <c r="E30" s="13"/>
      <c r="F30" s="38" t="str">
        <f aca="true">IF(OR(D30="",E30="✓"),"",D30-TODAY())</f>
        <v/>
      </c>
    </row>
    <row r="31" customFormat="false" ht="15" hidden="false" customHeight="false" outlineLevel="0" collapsed="false">
      <c r="B31" s="25"/>
      <c r="C31" s="25"/>
      <c r="D31" s="37"/>
      <c r="E31" s="13"/>
      <c r="F31" s="38" t="str">
        <f aca="true">IF(OR(D31="",E31="✓"),"",D31-TODAY())</f>
        <v/>
      </c>
    </row>
    <row r="32" customFormat="false" ht="15" hidden="false" customHeight="false" outlineLevel="0" collapsed="false">
      <c r="B32" s="25"/>
      <c r="C32" s="25"/>
      <c r="D32" s="37"/>
      <c r="E32" s="13"/>
      <c r="F32" s="38" t="str">
        <f aca="true">IF(OR(D32="",E32="✓"),"",D32-TODAY())</f>
        <v/>
      </c>
    </row>
    <row r="33" customFormat="false" ht="15" hidden="false" customHeight="false" outlineLevel="0" collapsed="false">
      <c r="B33" s="25"/>
      <c r="C33" s="25"/>
      <c r="D33" s="37"/>
      <c r="E33" s="13"/>
      <c r="F33" s="38" t="str">
        <f aca="true">IF(OR(D33="",E33="✓"),"",D33-TODAY())</f>
        <v/>
      </c>
    </row>
    <row r="34" customFormat="false" ht="15" hidden="false" customHeight="false" outlineLevel="0" collapsed="false">
      <c r="B34" s="25"/>
      <c r="C34" s="25"/>
      <c r="D34" s="37"/>
      <c r="E34" s="13"/>
      <c r="F34" s="38" t="str">
        <f aca="true">IF(OR(D34="",E34="✓"),"",D34-TODAY())</f>
        <v/>
      </c>
    </row>
    <row r="35" customFormat="false" ht="15" hidden="false" customHeight="false" outlineLevel="0" collapsed="false">
      <c r="B35" s="25"/>
      <c r="C35" s="25"/>
      <c r="D35" s="37"/>
      <c r="E35" s="13"/>
      <c r="F35" s="38" t="str">
        <f aca="true">IF(OR(D35="",E35="✓"),"",D35-TODAY())</f>
        <v/>
      </c>
    </row>
    <row r="36" customFormat="false" ht="15" hidden="false" customHeight="false" outlineLevel="0" collapsed="false">
      <c r="B36" s="25"/>
      <c r="C36" s="25"/>
      <c r="D36" s="37"/>
      <c r="E36" s="13"/>
      <c r="F36" s="38" t="str">
        <f aca="true">IF(OR(D36="",E36="✓"),"",D36-TODAY())</f>
        <v/>
      </c>
    </row>
    <row r="37" customFormat="false" ht="15" hidden="false" customHeight="false" outlineLevel="0" collapsed="false">
      <c r="B37" s="25"/>
      <c r="C37" s="25"/>
      <c r="D37" s="37"/>
      <c r="E37" s="13"/>
      <c r="F37" s="38" t="str">
        <f aca="true">IF(OR(D37="",E37="✓"),"",D37-TODAY())</f>
        <v/>
      </c>
    </row>
    <row r="38" customFormat="false" ht="15" hidden="false" customHeight="false" outlineLevel="0" collapsed="false">
      <c r="B38" s="25"/>
      <c r="C38" s="25"/>
      <c r="D38" s="37"/>
      <c r="E38" s="13"/>
      <c r="F38" s="38" t="str">
        <f aca="true">IF(OR(D38="",E38="✓"),"",D38-TODAY())</f>
        <v/>
      </c>
    </row>
    <row r="39" customFormat="false" ht="15" hidden="false" customHeight="false" outlineLevel="0" collapsed="false">
      <c r="B39" s="25"/>
      <c r="C39" s="25"/>
      <c r="D39" s="37"/>
      <c r="E39" s="13"/>
      <c r="F39" s="38" t="str">
        <f aca="true">IF(OR(D39="",E39="✓"),"",D39-TODAY())</f>
        <v/>
      </c>
    </row>
    <row r="40" customFormat="false" ht="15" hidden="false" customHeight="false" outlineLevel="0" collapsed="false">
      <c r="B40" s="25"/>
      <c r="C40" s="25"/>
      <c r="D40" s="37"/>
      <c r="E40" s="13"/>
      <c r="F40" s="38" t="str">
        <f aca="true">IF(OR(D40="",E40="✓"),"",D40-TODAY())</f>
        <v/>
      </c>
    </row>
    <row r="41" customFormat="false" ht="15" hidden="false" customHeight="false" outlineLevel="0" collapsed="false">
      <c r="B41" s="25"/>
      <c r="C41" s="25"/>
      <c r="D41" s="37"/>
      <c r="E41" s="13"/>
      <c r="F41" s="38" t="str">
        <f aca="true">IF(OR(D41="",E41="✓"),"",D41-TODAY())</f>
        <v/>
      </c>
    </row>
    <row r="42" customFormat="false" ht="15" hidden="false" customHeight="false" outlineLevel="0" collapsed="false">
      <c r="B42" s="25"/>
      <c r="C42" s="25"/>
      <c r="D42" s="37"/>
      <c r="E42" s="13"/>
      <c r="F42" s="38" t="str">
        <f aca="true">IF(OR(D42="",E42="✓"),"",D42-TODAY())</f>
        <v/>
      </c>
    </row>
    <row r="43" customFormat="false" ht="15" hidden="false" customHeight="false" outlineLevel="0" collapsed="false">
      <c r="B43" s="25"/>
      <c r="C43" s="25"/>
      <c r="D43" s="37"/>
      <c r="E43" s="13"/>
      <c r="F43" s="38" t="str">
        <f aca="true">IF(OR(D43="",E43="✓"),"",D43-TODAY())</f>
        <v/>
      </c>
    </row>
    <row r="44" customFormat="false" ht="15" hidden="false" customHeight="false" outlineLevel="0" collapsed="false">
      <c r="B44" s="25"/>
      <c r="C44" s="25"/>
      <c r="D44" s="37"/>
      <c r="E44" s="13"/>
      <c r="F44" s="38" t="str">
        <f aca="true">IF(OR(D44="",E44="✓"),"",D44-TODAY())</f>
        <v/>
      </c>
    </row>
    <row r="45" customFormat="false" ht="15" hidden="false" customHeight="false" outlineLevel="0" collapsed="false">
      <c r="B45" s="25"/>
      <c r="C45" s="25"/>
      <c r="D45" s="37"/>
      <c r="E45" s="13"/>
      <c r="F45" s="38" t="str">
        <f aca="true">IF(OR(D45="",E45="✓"),"",D45-TODAY())</f>
        <v/>
      </c>
    </row>
    <row r="46" customFormat="false" ht="15" hidden="false" customHeight="false" outlineLevel="0" collapsed="false">
      <c r="B46" s="25"/>
      <c r="C46" s="25"/>
      <c r="D46" s="37"/>
      <c r="E46" s="13"/>
      <c r="F46" s="38" t="str">
        <f aca="true">IF(OR(D46="",E46="✓"),"",D46-TODAY())</f>
        <v/>
      </c>
    </row>
    <row r="47" customFormat="false" ht="15" hidden="false" customHeight="false" outlineLevel="0" collapsed="false">
      <c r="B47" s="25"/>
      <c r="C47" s="25"/>
      <c r="D47" s="37"/>
      <c r="E47" s="13"/>
      <c r="F47" s="38" t="str">
        <f aca="true">IF(OR(D47="",E47="✓"),"",D47-TODAY())</f>
        <v/>
      </c>
    </row>
    <row r="48" customFormat="false" ht="15" hidden="false" customHeight="false" outlineLevel="0" collapsed="false">
      <c r="B48" s="25"/>
      <c r="C48" s="25"/>
      <c r="D48" s="37"/>
      <c r="E48" s="13"/>
      <c r="F48" s="38" t="str">
        <f aca="true">IF(OR(D48="",E48="✓"),"",D48-TODAY())</f>
        <v/>
      </c>
    </row>
    <row r="49" customFormat="false" ht="15" hidden="false" customHeight="false" outlineLevel="0" collapsed="false">
      <c r="B49" s="25"/>
      <c r="C49" s="25"/>
      <c r="D49" s="37"/>
      <c r="E49" s="13"/>
      <c r="F49" s="38" t="str">
        <f aca="true">IF(OR(D49="",E49="✓"),"",D49-TODAY())</f>
        <v/>
      </c>
    </row>
    <row r="50" customFormat="false" ht="15" hidden="false" customHeight="false" outlineLevel="0" collapsed="false">
      <c r="B50" s="25"/>
      <c r="C50" s="25"/>
      <c r="D50" s="37"/>
      <c r="E50" s="13"/>
      <c r="F50" s="38" t="str">
        <f aca="true">IF(OR(D50="",E50="✓"),"",D50-TODAY())</f>
        <v/>
      </c>
    </row>
    <row r="51" customFormat="false" ht="15" hidden="false" customHeight="false" outlineLevel="0" collapsed="false">
      <c r="B51" s="25"/>
      <c r="C51" s="25"/>
      <c r="D51" s="37"/>
      <c r="E51" s="13"/>
      <c r="F51" s="38" t="str">
        <f aca="true">IF(OR(D51="",E51="✓"),"",D51-TODAY())</f>
        <v/>
      </c>
    </row>
    <row r="52" customFormat="false" ht="15" hidden="false" customHeight="false" outlineLevel="0" collapsed="false">
      <c r="B52" s="25"/>
      <c r="C52" s="25"/>
      <c r="D52" s="37"/>
      <c r="E52" s="13"/>
      <c r="F52" s="38" t="str">
        <f aca="true">IF(OR(D52="",E52="✓"),"",D52-TODAY())</f>
        <v/>
      </c>
    </row>
    <row r="53" customFormat="false" ht="15" hidden="false" customHeight="false" outlineLevel="0" collapsed="false">
      <c r="B53" s="25"/>
      <c r="C53" s="25"/>
      <c r="D53" s="37"/>
      <c r="E53" s="13"/>
      <c r="F53" s="38" t="str">
        <f aca="true">IF(OR(D53="",E53="✓"),"",D53-TODAY())</f>
        <v/>
      </c>
    </row>
    <row r="54" customFormat="false" ht="15" hidden="false" customHeight="false" outlineLevel="0" collapsed="false">
      <c r="B54" s="25"/>
      <c r="C54" s="25"/>
      <c r="D54" s="37"/>
      <c r="E54" s="13"/>
      <c r="F54" s="38" t="str">
        <f aca="true">IF(OR(D54="",E54="✓"),"",D54-TODAY())</f>
        <v/>
      </c>
    </row>
    <row r="55" customFormat="false" ht="15" hidden="false" customHeight="false" outlineLevel="0" collapsed="false">
      <c r="B55" s="25"/>
      <c r="C55" s="25"/>
      <c r="D55" s="37"/>
      <c r="E55" s="13"/>
      <c r="F55" s="38" t="str">
        <f aca="true">IF(OR(D55="",E55="✓"),"",D55-TODAY())</f>
        <v/>
      </c>
    </row>
    <row r="56" customFormat="false" ht="15" hidden="false" customHeight="false" outlineLevel="0" collapsed="false">
      <c r="B56" s="25"/>
      <c r="C56" s="25"/>
      <c r="D56" s="37"/>
      <c r="E56" s="13"/>
      <c r="F56" s="38" t="str">
        <f aca="true">IF(OR(D56="",E56="✓"),"",D56-TODAY())</f>
        <v/>
      </c>
    </row>
    <row r="57" customFormat="false" ht="15" hidden="false" customHeight="false" outlineLevel="0" collapsed="false">
      <c r="B57" s="25"/>
      <c r="C57" s="25"/>
      <c r="D57" s="37"/>
      <c r="E57" s="13"/>
      <c r="F57" s="38" t="str">
        <f aca="true">IF(OR(D57="",E57="✓"),"",D57-TODAY())</f>
        <v/>
      </c>
    </row>
    <row r="58" customFormat="false" ht="15" hidden="false" customHeight="false" outlineLevel="0" collapsed="false">
      <c r="B58" s="25"/>
      <c r="C58" s="25"/>
      <c r="D58" s="37"/>
      <c r="E58" s="13"/>
      <c r="F58" s="38" t="str">
        <f aca="true">IF(OR(D58="",E58="✓"),"",D58-TODAY())</f>
        <v/>
      </c>
    </row>
    <row r="59" customFormat="false" ht="15" hidden="false" customHeight="false" outlineLevel="0" collapsed="false">
      <c r="B59" s="25"/>
      <c r="C59" s="25"/>
      <c r="D59" s="37"/>
      <c r="E59" s="13"/>
      <c r="F59" s="38" t="str">
        <f aca="true">IF(OR(D59="",E59="✓"),"",D59-TODAY())</f>
        <v/>
      </c>
    </row>
    <row r="60" customFormat="false" ht="15" hidden="false" customHeight="false" outlineLevel="0" collapsed="false">
      <c r="B60" s="25"/>
      <c r="C60" s="25"/>
      <c r="D60" s="37"/>
      <c r="E60" s="13"/>
      <c r="F60" s="38" t="str">
        <f aca="true">IF(OR(D60="",E60="✓"),"",D60-TODAY())</f>
        <v/>
      </c>
    </row>
    <row r="61" customFormat="false" ht="15" hidden="false" customHeight="false" outlineLevel="0" collapsed="false">
      <c r="B61" s="25"/>
      <c r="C61" s="25"/>
      <c r="D61" s="37"/>
      <c r="E61" s="13"/>
      <c r="F61" s="38" t="str">
        <f aca="true">IF(OR(D61="",E61="✓"),"",D61-TODAY())</f>
        <v/>
      </c>
    </row>
    <row r="62" customFormat="false" ht="15" hidden="false" customHeight="false" outlineLevel="0" collapsed="false">
      <c r="B62" s="25"/>
      <c r="C62" s="25"/>
      <c r="D62" s="37"/>
      <c r="E62" s="13"/>
      <c r="F62" s="38" t="str">
        <f aca="true">IF(OR(D62="",E62="✓"),"",D62-TODAY())</f>
        <v/>
      </c>
    </row>
    <row r="63" customFormat="false" ht="15" hidden="false" customHeight="false" outlineLevel="0" collapsed="false">
      <c r="B63" s="25"/>
      <c r="C63" s="25"/>
      <c r="D63" s="37"/>
      <c r="E63" s="13"/>
      <c r="F63" s="38" t="str">
        <f aca="true">IF(OR(D63="",E63="✓"),"",D63-TODAY())</f>
        <v/>
      </c>
    </row>
    <row r="64" customFormat="false" ht="15" hidden="false" customHeight="false" outlineLevel="0" collapsed="false">
      <c r="B64" s="25"/>
      <c r="C64" s="25"/>
      <c r="D64" s="37"/>
      <c r="E64" s="13"/>
      <c r="F64" s="38" t="str">
        <f aca="true">IF(OR(D64="",E64="✓"),"",D64-TODAY())</f>
        <v/>
      </c>
    </row>
    <row r="65" customFormat="false" ht="15" hidden="false" customHeight="false" outlineLevel="0" collapsed="false">
      <c r="B65" s="25"/>
      <c r="C65" s="25"/>
      <c r="D65" s="37"/>
      <c r="E65" s="13"/>
      <c r="F65" s="38" t="str">
        <f aca="true">IF(OR(D65="",E65="✓"),"",D65-TODAY())</f>
        <v/>
      </c>
    </row>
    <row r="66" customFormat="false" ht="15" hidden="false" customHeight="false" outlineLevel="0" collapsed="false">
      <c r="B66" s="25"/>
      <c r="C66" s="25"/>
      <c r="D66" s="37"/>
      <c r="E66" s="13"/>
      <c r="F66" s="38" t="str">
        <f aca="true">IF(OR(D66="",E66="✓"),"",D66-TODAY())</f>
        <v/>
      </c>
    </row>
    <row r="67" customFormat="false" ht="15" hidden="false" customHeight="false" outlineLevel="0" collapsed="false">
      <c r="B67" s="25"/>
      <c r="C67" s="25"/>
      <c r="D67" s="37"/>
      <c r="E67" s="13"/>
      <c r="F67" s="38" t="str">
        <f aca="true">IF(OR(D67="",E67="✓"),"",D67-TODAY())</f>
        <v/>
      </c>
    </row>
    <row r="68" customFormat="false" ht="15" hidden="false" customHeight="false" outlineLevel="0" collapsed="false">
      <c r="B68" s="25"/>
      <c r="C68" s="25"/>
      <c r="D68" s="37"/>
      <c r="E68" s="13"/>
      <c r="F68" s="38" t="str">
        <f aca="true">IF(OR(D68="",E68="✓"),"",D68-TODAY())</f>
        <v/>
      </c>
    </row>
    <row r="69" customFormat="false" ht="15" hidden="false" customHeight="false" outlineLevel="0" collapsed="false">
      <c r="B69" s="25"/>
      <c r="C69" s="25"/>
      <c r="D69" s="37"/>
      <c r="E69" s="13"/>
      <c r="F69" s="38" t="str">
        <f aca="true">IF(OR(D69="",E69="✓"),"",D69-TODAY())</f>
        <v/>
      </c>
    </row>
    <row r="70" customFormat="false" ht="15" hidden="false" customHeight="false" outlineLevel="0" collapsed="false">
      <c r="B70" s="25"/>
      <c r="C70" s="25"/>
      <c r="D70" s="37"/>
      <c r="E70" s="13"/>
      <c r="F70" s="38" t="str">
        <f aca="true">IF(OR(D70="",E70="✓"),"",D70-TODAY())</f>
        <v/>
      </c>
    </row>
    <row r="71" customFormat="false" ht="15" hidden="false" customHeight="false" outlineLevel="0" collapsed="false">
      <c r="B71" s="25"/>
      <c r="C71" s="25"/>
      <c r="D71" s="37"/>
      <c r="E71" s="13"/>
      <c r="F71" s="38" t="str">
        <f aca="true">IF(OR(D71="",E71="✓"),"",D71-TODAY())</f>
        <v/>
      </c>
    </row>
    <row r="72" customFormat="false" ht="15" hidden="false" customHeight="false" outlineLevel="0" collapsed="false">
      <c r="B72" s="25"/>
      <c r="C72" s="25"/>
      <c r="D72" s="37"/>
      <c r="E72" s="13"/>
      <c r="F72" s="38" t="str">
        <f aca="true">IF(OR(D72="",E72="✓"),"",D72-TODAY())</f>
        <v/>
      </c>
    </row>
    <row r="73" customFormat="false" ht="15" hidden="false" customHeight="false" outlineLevel="0" collapsed="false">
      <c r="B73" s="25"/>
      <c r="C73" s="25"/>
      <c r="D73" s="37"/>
      <c r="E73" s="13"/>
      <c r="F73" s="38" t="str">
        <f aca="true">IF(OR(D73="",E73="✓"),"",D73-TODAY())</f>
        <v/>
      </c>
    </row>
    <row r="74" customFormat="false" ht="15" hidden="false" customHeight="false" outlineLevel="0" collapsed="false">
      <c r="B74" s="25"/>
      <c r="C74" s="25"/>
      <c r="D74" s="37"/>
      <c r="E74" s="13"/>
      <c r="F74" s="38" t="str">
        <f aca="true">IF(OR(D74="",E74="✓"),"",D74-TODAY())</f>
        <v/>
      </c>
    </row>
    <row r="75" customFormat="false" ht="15" hidden="false" customHeight="false" outlineLevel="0" collapsed="false">
      <c r="B75" s="25"/>
      <c r="C75" s="25"/>
      <c r="D75" s="37"/>
      <c r="E75" s="13"/>
      <c r="F75" s="38" t="str">
        <f aca="true">IF(OR(D75="",E75="✓"),"",D75-TODAY())</f>
        <v/>
      </c>
    </row>
    <row r="76" customFormat="false" ht="15" hidden="false" customHeight="false" outlineLevel="0" collapsed="false">
      <c r="B76" s="25"/>
      <c r="C76" s="25"/>
      <c r="D76" s="37"/>
      <c r="E76" s="13"/>
      <c r="F76" s="38" t="str">
        <f aca="true">IF(OR(D76="",E76="✓"),"",D76-TODAY())</f>
        <v/>
      </c>
    </row>
    <row r="77" customFormat="false" ht="15" hidden="false" customHeight="false" outlineLevel="0" collapsed="false">
      <c r="B77" s="25"/>
      <c r="C77" s="25"/>
      <c r="D77" s="37"/>
      <c r="E77" s="13"/>
      <c r="F77" s="38" t="str">
        <f aca="true">IF(OR(D77="",E77="✓"),"",D77-TODAY())</f>
        <v/>
      </c>
    </row>
    <row r="78" customFormat="false" ht="15" hidden="false" customHeight="false" outlineLevel="0" collapsed="false">
      <c r="B78" s="25"/>
      <c r="C78" s="25"/>
      <c r="D78" s="37"/>
      <c r="E78" s="13"/>
      <c r="F78" s="38" t="str">
        <f aca="true">IF(OR(D78="",E78="✓"),"",D78-TODAY())</f>
        <v/>
      </c>
    </row>
    <row r="79" customFormat="false" ht="15" hidden="false" customHeight="false" outlineLevel="0" collapsed="false">
      <c r="B79" s="25"/>
      <c r="C79" s="25"/>
      <c r="D79" s="37"/>
      <c r="E79" s="13"/>
      <c r="F79" s="38" t="str">
        <f aca="true">IF(OR(D79="",E79="✓"),"",D79-TODAY())</f>
        <v/>
      </c>
    </row>
    <row r="80" customFormat="false" ht="15" hidden="false" customHeight="false" outlineLevel="0" collapsed="false">
      <c r="B80" s="25"/>
      <c r="C80" s="25"/>
      <c r="D80" s="37"/>
      <c r="E80" s="13"/>
      <c r="F80" s="38" t="str">
        <f aca="true">IF(OR(D80="",E80="✓"),"",D80-TODAY())</f>
        <v/>
      </c>
    </row>
    <row r="81" customFormat="false" ht="15" hidden="false" customHeight="false" outlineLevel="0" collapsed="false">
      <c r="B81" s="25"/>
      <c r="C81" s="25"/>
      <c r="D81" s="37"/>
      <c r="E81" s="13"/>
      <c r="F81" s="38" t="str">
        <f aca="true">IF(OR(D81="",E81="✓"),"",D81-TODAY())</f>
        <v/>
      </c>
    </row>
    <row r="82" customFormat="false" ht="15" hidden="false" customHeight="false" outlineLevel="0" collapsed="false">
      <c r="B82" s="25"/>
      <c r="C82" s="25"/>
      <c r="D82" s="37"/>
      <c r="E82" s="13"/>
      <c r="F82" s="38" t="str">
        <f aca="true">IF(OR(D82="",E82="✓"),"",D82-TODAY())</f>
        <v/>
      </c>
    </row>
    <row r="83" customFormat="false" ht="15" hidden="false" customHeight="false" outlineLevel="0" collapsed="false">
      <c r="B83" s="25"/>
      <c r="C83" s="25"/>
      <c r="D83" s="37"/>
      <c r="E83" s="13"/>
      <c r="F83" s="38" t="str">
        <f aca="true">IF(OR(D83="",E83="✓"),"",D83-TODAY())</f>
        <v/>
      </c>
    </row>
    <row r="84" customFormat="false" ht="15" hidden="false" customHeight="false" outlineLevel="0" collapsed="false">
      <c r="B84" s="25"/>
      <c r="C84" s="25"/>
      <c r="D84" s="37"/>
      <c r="E84" s="13"/>
      <c r="F84" s="38" t="str">
        <f aca="true">IF(OR(D84="",E84="✓"),"",D84-TODAY())</f>
        <v/>
      </c>
    </row>
    <row r="85" customFormat="false" ht="15" hidden="false" customHeight="false" outlineLevel="0" collapsed="false">
      <c r="B85" s="25"/>
      <c r="C85" s="25"/>
      <c r="D85" s="37"/>
      <c r="E85" s="13"/>
      <c r="F85" s="38" t="str">
        <f aca="true">IF(OR(D85="",E85="✓"),"",D85-TODAY())</f>
        <v/>
      </c>
    </row>
    <row r="86" customFormat="false" ht="15" hidden="false" customHeight="false" outlineLevel="0" collapsed="false">
      <c r="B86" s="25"/>
      <c r="C86" s="25"/>
      <c r="D86" s="37"/>
      <c r="E86" s="13"/>
      <c r="F86" s="38" t="str">
        <f aca="true">IF(OR(D86="",E86="✓"),"",D86-TODAY())</f>
        <v/>
      </c>
    </row>
    <row r="87" customFormat="false" ht="15" hidden="false" customHeight="false" outlineLevel="0" collapsed="false">
      <c r="B87" s="25"/>
      <c r="C87" s="25"/>
      <c r="D87" s="37"/>
      <c r="E87" s="13"/>
      <c r="F87" s="38" t="str">
        <f aca="true">IF(OR(D87="",E87="✓"),"",D87-TODAY())</f>
        <v/>
      </c>
    </row>
    <row r="88" customFormat="false" ht="15" hidden="false" customHeight="false" outlineLevel="0" collapsed="false">
      <c r="B88" s="25"/>
      <c r="C88" s="25"/>
      <c r="D88" s="37"/>
      <c r="E88" s="13"/>
      <c r="F88" s="38" t="str">
        <f aca="true">IF(OR(D88="",E88="✓"),"",D88-TODAY())</f>
        <v/>
      </c>
    </row>
    <row r="89" customFormat="false" ht="15" hidden="false" customHeight="false" outlineLevel="0" collapsed="false">
      <c r="B89" s="25"/>
      <c r="C89" s="25"/>
      <c r="D89" s="37"/>
      <c r="E89" s="13"/>
      <c r="F89" s="38" t="str">
        <f aca="true">IF(OR(D89="",E89="✓"),"",D89-TODAY())</f>
        <v/>
      </c>
    </row>
    <row r="90" customFormat="false" ht="15" hidden="false" customHeight="false" outlineLevel="0" collapsed="false">
      <c r="B90" s="25"/>
      <c r="C90" s="25"/>
      <c r="D90" s="37"/>
      <c r="E90" s="13"/>
      <c r="F90" s="38" t="str">
        <f aca="true">IF(OR(D90="",E90="✓"),"",D90-TODAY())</f>
        <v/>
      </c>
    </row>
    <row r="91" customFormat="false" ht="15" hidden="false" customHeight="false" outlineLevel="0" collapsed="false">
      <c r="B91" s="25"/>
      <c r="C91" s="25"/>
      <c r="D91" s="37"/>
      <c r="E91" s="13"/>
      <c r="F91" s="38" t="str">
        <f aca="true">IF(OR(D91="",E91="✓"),"",D91-TODAY())</f>
        <v/>
      </c>
    </row>
    <row r="92" customFormat="false" ht="15" hidden="false" customHeight="false" outlineLevel="0" collapsed="false">
      <c r="B92" s="25"/>
      <c r="C92" s="25"/>
      <c r="D92" s="37"/>
      <c r="E92" s="13"/>
      <c r="F92" s="38" t="str">
        <f aca="true">IF(OR(D92="",E92="✓"),"",D92-TODAY())</f>
        <v/>
      </c>
    </row>
    <row r="93" customFormat="false" ht="15" hidden="false" customHeight="false" outlineLevel="0" collapsed="false">
      <c r="B93" s="25"/>
      <c r="C93" s="25"/>
      <c r="D93" s="37"/>
      <c r="E93" s="13"/>
      <c r="F93" s="38" t="str">
        <f aca="true">IF(OR(D93="",E93="✓"),"",D93-TODAY())</f>
        <v/>
      </c>
    </row>
    <row r="94" customFormat="false" ht="15" hidden="false" customHeight="false" outlineLevel="0" collapsed="false">
      <c r="B94" s="25"/>
      <c r="C94" s="25"/>
      <c r="D94" s="37"/>
      <c r="E94" s="13"/>
      <c r="F94" s="38" t="str">
        <f aca="true">IF(OR(D94="",E94="✓"),"",D94-TODAY())</f>
        <v/>
      </c>
    </row>
    <row r="95" customFormat="false" ht="15" hidden="false" customHeight="false" outlineLevel="0" collapsed="false">
      <c r="B95" s="25"/>
      <c r="C95" s="25"/>
      <c r="D95" s="37"/>
      <c r="E95" s="13"/>
      <c r="F95" s="38" t="str">
        <f aca="true">IF(OR(D95="",E95="✓"),"",D95-TODAY())</f>
        <v/>
      </c>
    </row>
    <row r="96" customFormat="false" ht="15" hidden="false" customHeight="false" outlineLevel="0" collapsed="false">
      <c r="B96" s="25"/>
      <c r="C96" s="25"/>
      <c r="D96" s="37"/>
      <c r="E96" s="13"/>
      <c r="F96" s="38" t="str">
        <f aca="true">IF(OR(D96="",E96="✓"),"",D96-TODAY())</f>
        <v/>
      </c>
    </row>
    <row r="97" customFormat="false" ht="15" hidden="false" customHeight="false" outlineLevel="0" collapsed="false">
      <c r="B97" s="25"/>
      <c r="C97" s="25"/>
      <c r="D97" s="37"/>
      <c r="E97" s="13"/>
      <c r="F97" s="38" t="str">
        <f aca="true">IF(OR(D97="",E97="✓"),"",D97-TODAY())</f>
        <v/>
      </c>
    </row>
    <row r="98" customFormat="false" ht="15" hidden="false" customHeight="false" outlineLevel="0" collapsed="false">
      <c r="B98" s="25"/>
      <c r="C98" s="25"/>
      <c r="D98" s="37"/>
      <c r="E98" s="13"/>
      <c r="F98" s="38" t="str">
        <f aca="true">IF(OR(D98="",E98="✓"),"",D98-TODAY())</f>
        <v/>
      </c>
    </row>
    <row r="99" customFormat="false" ht="15" hidden="false" customHeight="false" outlineLevel="0" collapsed="false">
      <c r="B99" s="25"/>
      <c r="C99" s="25"/>
      <c r="D99" s="37"/>
      <c r="E99" s="13"/>
      <c r="F99" s="38" t="str">
        <f aca="true">IF(OR(D99="",E99="✓"),"",D99-TODAY())</f>
        <v/>
      </c>
    </row>
    <row r="100" customFormat="false" ht="15" hidden="false" customHeight="false" outlineLevel="0" collapsed="false">
      <c r="B100" s="25"/>
      <c r="C100" s="25"/>
      <c r="D100" s="37"/>
      <c r="E100" s="13"/>
      <c r="F100" s="38" t="str">
        <f aca="true">IF(OR(D100="",E100="✓"),"",D100-TODAY())</f>
        <v/>
      </c>
    </row>
    <row r="101" customFormat="false" ht="15" hidden="false" customHeight="false" outlineLevel="0" collapsed="false">
      <c r="B101" s="25"/>
      <c r="C101" s="25"/>
      <c r="D101" s="37"/>
      <c r="E101" s="13"/>
      <c r="F101" s="38" t="str">
        <f aca="true">IF(OR(D101="",E101="✓"),"",D101-TODAY())</f>
        <v/>
      </c>
    </row>
    <row r="102" customFormat="false" ht="15" hidden="false" customHeight="false" outlineLevel="0" collapsed="false">
      <c r="B102" s="25"/>
      <c r="C102" s="25"/>
      <c r="D102" s="37"/>
      <c r="E102" s="13"/>
      <c r="F102" s="38" t="str">
        <f aca="true">IF(OR(D102="",E102="✓"),"",D102-TODAY())</f>
        <v/>
      </c>
    </row>
    <row r="103" customFormat="false" ht="15" hidden="false" customHeight="false" outlineLevel="0" collapsed="false">
      <c r="B103" s="25"/>
      <c r="C103" s="25"/>
      <c r="D103" s="37"/>
      <c r="E103" s="13"/>
      <c r="F103" s="38" t="str">
        <f aca="true">IF(OR(D103="",E103="✓"),"",D103-TODAY())</f>
        <v/>
      </c>
    </row>
    <row r="104" customFormat="false" ht="15" hidden="false" customHeight="false" outlineLevel="0" collapsed="false">
      <c r="B104" s="25"/>
      <c r="C104" s="25"/>
      <c r="D104" s="37"/>
      <c r="E104" s="13"/>
      <c r="F104" s="38" t="str">
        <f aca="true">IF(OR(D104="",E104="✓"),"",D104-TODAY())</f>
        <v/>
      </c>
    </row>
    <row r="105" customFormat="false" ht="15" hidden="false" customHeight="false" outlineLevel="0" collapsed="false">
      <c r="B105" s="25"/>
      <c r="C105" s="25"/>
      <c r="D105" s="37"/>
      <c r="E105" s="13"/>
      <c r="F105" s="38" t="str">
        <f aca="true">IF(OR(D105="",E105="✓"),"",D105-TODAY())</f>
        <v/>
      </c>
    </row>
  </sheetData>
  <conditionalFormatting sqref="B6:F105">
    <cfRule type="expression" priority="2" aboveAverage="0" equalAverage="0" bottom="0" percent="0" rank="0" text="" dxfId="6">
      <formula>$E6="✓"</formula>
    </cfRule>
  </conditionalFormatting>
  <conditionalFormatting sqref="F6:F105">
    <cfRule type="expression" priority="3" aboveAverage="0" equalAverage="0" bottom="0" percent="0" rank="0" text="" dxfId="8">
      <formula>AND(F6&lt;&gt;"",F6&lt;0)</formula>
    </cfRule>
    <cfRule type="expression" priority="4" aboveAverage="0" equalAverage="0" bottom="0" percent="0" rank="0" text="" dxfId="9">
      <formula>AND(F6&lt;&gt;"",F6&gt;=0,F6&lt;=3)</formula>
    </cfRule>
  </conditionalFormatting>
  <dataValidations count="2">
    <dataValidation allowBlank="true" errorStyle="stop" operator="between" showDropDown="false" showErrorMessage="false" showInputMessage="false" sqref="E6:E105" type="list">
      <formula1>"✓"</formula1>
      <formula2>0</formula2>
    </dataValidation>
    <dataValidation allowBlank="true" errorStyle="stop" operator="between" showDropDown="false" showErrorMessage="false" showInputMessage="false" sqref="C6:C105" type="list">
      <formula1>"Early Nov,Mid Nov,Late Nov,Early Dec,Mid Dec,Christmas week,Christmas Eve,Christmas Day,Boxing 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2026-10-29T22:54:59Z</dcterms:created>
  <dc:creator>openpyxl</dc:creator>
  <dc:description/>
  <dc:language>en-US</dc:language>
  <cp:lastModifiedBy/>
  <dcterms:modified xsi:type="dcterms:W3CDTF">2026-10-29T22:55:01Z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